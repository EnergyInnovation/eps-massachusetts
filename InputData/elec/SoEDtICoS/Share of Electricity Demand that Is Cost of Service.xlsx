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MA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2144</v>
      </c>
      <c r="C4" t="inlineStr">
        <is>
          <t>Town of Braintree - (MA)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MA</t>
        </is>
      </c>
      <c r="H4" t="inlineStr">
        <is>
          <t>Municipal</t>
        </is>
      </c>
      <c r="I4" t="inlineStr">
        <is>
          <t>ISNE</t>
        </is>
      </c>
      <c r="J4" t="n">
        <v>18800</v>
      </c>
      <c r="K4" t="n">
        <v>119085</v>
      </c>
      <c r="L4" t="n">
        <v>14039</v>
      </c>
      <c r="M4" t="n">
        <v>31028</v>
      </c>
      <c r="N4" t="n">
        <v>185048</v>
      </c>
      <c r="O4" t="n">
        <v>2725</v>
      </c>
      <c r="P4" t="n">
        <v>2774</v>
      </c>
      <c r="Q4" t="n">
        <v>18339</v>
      </c>
      <c r="R4" t="n">
        <v>5</v>
      </c>
      <c r="S4" t="inlineStr">
        <is>
          <t>.</t>
        </is>
      </c>
      <c r="T4" t="inlineStr">
        <is>
          <t>.</t>
        </is>
      </c>
      <c r="U4" t="inlineStr">
        <is>
          <t>.</t>
        </is>
      </c>
      <c r="V4" t="n">
        <v>52602</v>
      </c>
      <c r="W4" t="n">
        <v>322472</v>
      </c>
      <c r="X4" t="n">
        <v>16769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3477</v>
      </c>
      <c r="C5" t="inlineStr">
        <is>
          <t>City of Chicopee - (MA)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MA</t>
        </is>
      </c>
      <c r="H5" t="inlineStr">
        <is>
          <t>Municipal</t>
        </is>
      </c>
      <c r="I5" t="inlineStr">
        <is>
          <t>ISNE</t>
        </is>
      </c>
      <c r="J5" t="n">
        <v>31462.1</v>
      </c>
      <c r="K5" t="n">
        <v>194636</v>
      </c>
      <c r="L5" t="n">
        <v>23218</v>
      </c>
      <c r="M5" t="n">
        <v>20106</v>
      </c>
      <c r="N5" t="n">
        <v>121635</v>
      </c>
      <c r="O5" t="n">
        <v>2794</v>
      </c>
      <c r="P5" t="n">
        <v>17334.7</v>
      </c>
      <c r="Q5" t="n">
        <v>121566</v>
      </c>
      <c r="R5" t="n">
        <v>40</v>
      </c>
      <c r="S5" t="inlineStr">
        <is>
          <t>.</t>
        </is>
      </c>
      <c r="T5" t="inlineStr">
        <is>
          <t>.</t>
        </is>
      </c>
      <c r="U5" t="inlineStr">
        <is>
          <t>.</t>
        </is>
      </c>
      <c r="V5" t="n">
        <v>68902.8</v>
      </c>
      <c r="W5" t="n">
        <v>437837</v>
      </c>
      <c r="X5" t="n">
        <v>26052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5480</v>
      </c>
      <c r="C6" t="inlineStr">
        <is>
          <t>Town of Danvers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MA</t>
        </is>
      </c>
      <c r="H6" t="inlineStr">
        <is>
          <t>Municipal</t>
        </is>
      </c>
      <c r="I6" t="inlineStr">
        <is>
          <t>ISNE</t>
        </is>
      </c>
      <c r="J6" t="n">
        <v>15865.4</v>
      </c>
      <c r="K6" t="n">
        <v>96468</v>
      </c>
      <c r="L6" t="n">
        <v>11594</v>
      </c>
      <c r="M6" t="n">
        <v>5049.9</v>
      </c>
      <c r="N6" t="n">
        <v>31795</v>
      </c>
      <c r="O6" t="n">
        <v>1549</v>
      </c>
      <c r="P6" t="n">
        <v>21753.7</v>
      </c>
      <c r="Q6" t="n">
        <v>163111</v>
      </c>
      <c r="R6" t="n">
        <v>349</v>
      </c>
      <c r="S6" t="inlineStr">
        <is>
          <t>.</t>
        </is>
      </c>
      <c r="T6" t="inlineStr">
        <is>
          <t>.</t>
        </is>
      </c>
      <c r="U6" t="inlineStr">
        <is>
          <t>.</t>
        </is>
      </c>
      <c r="V6" t="n">
        <v>42669</v>
      </c>
      <c r="W6" t="n">
        <v>291374</v>
      </c>
      <c r="X6" t="n">
        <v>13492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6374</v>
      </c>
      <c r="C7" t="inlineStr">
        <is>
          <t>Fitchburg Gas &amp; Elec Light Co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MA</t>
        </is>
      </c>
      <c r="H7" t="inlineStr">
        <is>
          <t>Investor Owned</t>
        </is>
      </c>
      <c r="I7" t="inlineStr">
        <is>
          <t>ISNE</t>
        </is>
      </c>
      <c r="J7" t="n">
        <v>14938.8</v>
      </c>
      <c r="K7" t="n">
        <v>37272</v>
      </c>
      <c r="L7" t="n">
        <v>6168</v>
      </c>
      <c r="M7" t="n">
        <v>2631</v>
      </c>
      <c r="N7" t="n">
        <v>7227</v>
      </c>
      <c r="O7" t="n">
        <v>726</v>
      </c>
      <c r="P7" t="inlineStr">
        <is>
          <t>.</t>
        </is>
      </c>
      <c r="Q7" t="inlineStr">
        <is>
          <t>.</t>
        </is>
      </c>
      <c r="R7" t="inlineStr">
        <is>
          <t>.</t>
        </is>
      </c>
      <c r="S7" t="inlineStr">
        <is>
          <t>.</t>
        </is>
      </c>
      <c r="T7" t="inlineStr">
        <is>
          <t>.</t>
        </is>
      </c>
      <c r="U7" t="inlineStr">
        <is>
          <t>.</t>
        </is>
      </c>
      <c r="V7" t="n">
        <v>17569.8</v>
      </c>
      <c r="W7" t="n">
        <v>44499</v>
      </c>
      <c r="X7" t="n">
        <v>6894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6374</v>
      </c>
      <c r="C8" t="inlineStr">
        <is>
          <t>Fitchburg Gas &amp; Elec Light Co</t>
        </is>
      </c>
      <c r="D8" t="inlineStr">
        <is>
          <t>C</t>
        </is>
      </c>
      <c r="E8" t="inlineStr">
        <is>
          <t>Delivery</t>
        </is>
      </c>
      <c r="F8" t="inlineStr">
        <is>
          <t>O</t>
        </is>
      </c>
      <c r="G8" t="inlineStr">
        <is>
          <t>MA</t>
        </is>
      </c>
      <c r="H8" t="inlineStr">
        <is>
          <t>Investor Owned</t>
        </is>
      </c>
      <c r="I8" t="inlineStr">
        <is>
          <t>ISNE</t>
        </is>
      </c>
      <c r="J8" t="n">
        <v>24397</v>
      </c>
      <c r="K8" t="n">
        <v>126850</v>
      </c>
      <c r="L8" t="n">
        <v>20122</v>
      </c>
      <c r="M8" t="n">
        <v>13127.6</v>
      </c>
      <c r="N8" t="n">
        <v>87377</v>
      </c>
      <c r="O8" t="n">
        <v>3838</v>
      </c>
      <c r="P8" t="n">
        <v>13482.9</v>
      </c>
      <c r="Q8" t="n">
        <v>177234</v>
      </c>
      <c r="R8" t="n">
        <v>30</v>
      </c>
      <c r="S8" t="inlineStr">
        <is>
          <t>.</t>
        </is>
      </c>
      <c r="T8" t="inlineStr">
        <is>
          <t>.</t>
        </is>
      </c>
      <c r="U8" t="inlineStr">
        <is>
          <t>.</t>
        </is>
      </c>
      <c r="V8" t="n">
        <v>51007.5</v>
      </c>
      <c r="W8" t="n">
        <v>391461</v>
      </c>
      <c r="X8" t="n">
        <v>23990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7279</v>
      </c>
      <c r="C9" t="inlineStr">
        <is>
          <t>NextEra Energy Services, LLC</t>
        </is>
      </c>
      <c r="D9" t="inlineStr">
        <is>
          <t>B</t>
        </is>
      </c>
      <c r="E9" t="inlineStr">
        <is>
          <t>Energy</t>
        </is>
      </c>
      <c r="F9" t="inlineStr">
        <is>
          <t>O</t>
        </is>
      </c>
      <c r="G9" t="inlineStr">
        <is>
          <t>MA</t>
        </is>
      </c>
      <c r="H9" t="inlineStr">
        <is>
          <t>Retail Power Marketer</t>
        </is>
      </c>
      <c r="I9" t="inlineStr">
        <is>
          <t>ISNE</t>
        </is>
      </c>
      <c r="J9" t="n">
        <v>156091.1</v>
      </c>
      <c r="K9" t="n">
        <v>1106248</v>
      </c>
      <c r="L9" t="n">
        <v>145990</v>
      </c>
      <c r="M9" t="n">
        <v>108865.1</v>
      </c>
      <c r="N9" t="n">
        <v>825726</v>
      </c>
      <c r="O9" t="n">
        <v>16020</v>
      </c>
      <c r="P9" t="n">
        <v>129.7</v>
      </c>
      <c r="Q9" t="n">
        <v>1088</v>
      </c>
      <c r="R9" t="n">
        <v>6</v>
      </c>
      <c r="S9" t="inlineStr">
        <is>
          <t>.</t>
        </is>
      </c>
      <c r="T9" t="inlineStr">
        <is>
          <t>.</t>
        </is>
      </c>
      <c r="U9" t="inlineStr">
        <is>
          <t>.</t>
        </is>
      </c>
      <c r="V9" t="n">
        <v>265085.9</v>
      </c>
      <c r="W9" t="n">
        <v>1933062</v>
      </c>
      <c r="X9" t="n">
        <v>162016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7554</v>
      </c>
      <c r="C10" t="inlineStr">
        <is>
          <t>Green Mountain Energy Company</t>
        </is>
      </c>
      <c r="D10" t="inlineStr">
        <is>
          <t>B</t>
        </is>
      </c>
      <c r="E10" t="inlineStr">
        <is>
          <t>Energy</t>
        </is>
      </c>
      <c r="F10" t="inlineStr">
        <is>
          <t>O</t>
        </is>
      </c>
      <c r="G10" t="inlineStr">
        <is>
          <t>MA</t>
        </is>
      </c>
      <c r="H10" t="inlineStr">
        <is>
          <t>Retail Power Marketer</t>
        </is>
      </c>
      <c r="I10" t="inlineStr">
        <is>
          <t>ISNE</t>
        </is>
      </c>
      <c r="J10" t="n">
        <v>1773</v>
      </c>
      <c r="K10" t="n">
        <v>8883</v>
      </c>
      <c r="L10" t="n">
        <v>1382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1773</v>
      </c>
      <c r="W10" t="n">
        <v>8883</v>
      </c>
      <c r="X10" t="n">
        <v>1382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8774</v>
      </c>
      <c r="C11" t="inlineStr">
        <is>
          <t>City of Holyoke - (MA)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MA</t>
        </is>
      </c>
      <c r="H11" t="inlineStr">
        <is>
          <t>Municipal</t>
        </is>
      </c>
      <c r="I11" t="inlineStr">
        <is>
          <t>ISNE</t>
        </is>
      </c>
      <c r="J11" t="n">
        <v>17929</v>
      </c>
      <c r="K11" t="n">
        <v>108136</v>
      </c>
      <c r="L11" t="n">
        <v>15040</v>
      </c>
      <c r="M11" t="n">
        <v>33851</v>
      </c>
      <c r="N11" t="n">
        <v>227354</v>
      </c>
      <c r="O11" t="n">
        <v>2905</v>
      </c>
      <c r="P11" t="n">
        <v>5370</v>
      </c>
      <c r="Q11" t="n">
        <v>46317</v>
      </c>
      <c r="R11" t="n">
        <v>21</v>
      </c>
      <c r="S11" t="inlineStr">
        <is>
          <t>.</t>
        </is>
      </c>
      <c r="T11" t="inlineStr">
        <is>
          <t>.</t>
        </is>
      </c>
      <c r="U11" t="inlineStr">
        <is>
          <t>.</t>
        </is>
      </c>
      <c r="V11" t="n">
        <v>57150</v>
      </c>
      <c r="W11" t="n">
        <v>381807</v>
      </c>
      <c r="X11" t="n">
        <v>17966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8973</v>
      </c>
      <c r="C12" t="inlineStr">
        <is>
          <t>Town of Hudson - (MA)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MA</t>
        </is>
      </c>
      <c r="H12" t="inlineStr">
        <is>
          <t>Municipal</t>
        </is>
      </c>
      <c r="I12" t="inlineStr">
        <is>
          <t>ISNE</t>
        </is>
      </c>
      <c r="J12" t="n">
        <v>13981.7</v>
      </c>
      <c r="K12" t="n">
        <v>104445</v>
      </c>
      <c r="L12" t="n">
        <v>11448</v>
      </c>
      <c r="M12" t="n">
        <v>4502.4</v>
      </c>
      <c r="N12" t="n">
        <v>41774</v>
      </c>
      <c r="O12" t="n">
        <v>1901</v>
      </c>
      <c r="P12" t="n">
        <v>10337.2</v>
      </c>
      <c r="Q12" t="n">
        <v>68689</v>
      </c>
      <c r="R12" t="n">
        <v>166</v>
      </c>
      <c r="S12" t="inlineStr">
        <is>
          <t>.</t>
        </is>
      </c>
      <c r="T12" t="inlineStr">
        <is>
          <t>.</t>
        </is>
      </c>
      <c r="U12" t="inlineStr">
        <is>
          <t>.</t>
        </is>
      </c>
      <c r="V12" t="n">
        <v>28821.3</v>
      </c>
      <c r="W12" t="n">
        <v>214908</v>
      </c>
      <c r="X12" t="n">
        <v>13515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9949</v>
      </c>
      <c r="C13" t="inlineStr">
        <is>
          <t>Just Energy</t>
        </is>
      </c>
      <c r="D13" t="inlineStr">
        <is>
          <t>B</t>
        </is>
      </c>
      <c r="E13" t="inlineStr">
        <is>
          <t>Energy</t>
        </is>
      </c>
      <c r="F13" t="inlineStr">
        <is>
          <t>O</t>
        </is>
      </c>
      <c r="G13" t="inlineStr">
        <is>
          <t>MA</t>
        </is>
      </c>
      <c r="H13" t="inlineStr">
        <is>
          <t>Retail Power Marketer</t>
        </is>
      </c>
      <c r="I13" t="inlineStr">
        <is>
          <t>ISNE</t>
        </is>
      </c>
      <c r="J13" t="n">
        <v>72</v>
      </c>
      <c r="K13" t="n">
        <v>544</v>
      </c>
      <c r="L13" t="n">
        <v>100</v>
      </c>
      <c r="M13" t="n">
        <v>9.4</v>
      </c>
      <c r="N13" t="n">
        <v>59</v>
      </c>
      <c r="O13" t="n">
        <v>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81.40000000000001</v>
      </c>
      <c r="W13" t="n">
        <v>603</v>
      </c>
      <c r="X13" t="n">
        <v>103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11085</v>
      </c>
      <c r="C14" t="inlineStr">
        <is>
          <t>Town of Littleton - (MA)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MA</t>
        </is>
      </c>
      <c r="H14" t="inlineStr">
        <is>
          <t>Municipal</t>
        </is>
      </c>
      <c r="I14" t="inlineStr">
        <is>
          <t>ISNE</t>
        </is>
      </c>
      <c r="J14" t="n">
        <v>9699.6</v>
      </c>
      <c r="K14" t="n">
        <v>68711</v>
      </c>
      <c r="L14" t="n">
        <v>6738</v>
      </c>
      <c r="M14" t="n">
        <v>6439.7</v>
      </c>
      <c r="N14" t="n">
        <v>42493</v>
      </c>
      <c r="O14" t="n">
        <v>809</v>
      </c>
      <c r="P14" t="n">
        <v>15052.1</v>
      </c>
      <c r="Q14" t="n">
        <v>112087</v>
      </c>
      <c r="R14" t="n">
        <v>49</v>
      </c>
      <c r="S14" t="inlineStr">
        <is>
          <t>.</t>
        </is>
      </c>
      <c r="T14" t="inlineStr">
        <is>
          <t>.</t>
        </is>
      </c>
      <c r="U14" t="inlineStr">
        <is>
          <t>.</t>
        </is>
      </c>
      <c r="V14" t="n">
        <v>31191.4</v>
      </c>
      <c r="W14" t="n">
        <v>223291</v>
      </c>
      <c r="X14" t="n">
        <v>7596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11586</v>
      </c>
      <c r="C15" t="inlineStr">
        <is>
          <t>Town of Mansfield - (MA)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MA</t>
        </is>
      </c>
      <c r="H15" t="inlineStr">
        <is>
          <t>Municipal</t>
        </is>
      </c>
      <c r="I15" t="inlineStr">
        <is>
          <t>ISNE</t>
        </is>
      </c>
      <c r="J15" t="n">
        <v>12398.7</v>
      </c>
      <c r="K15" t="n">
        <v>81769</v>
      </c>
      <c r="L15" t="n">
        <v>9399</v>
      </c>
      <c r="M15" t="n">
        <v>3018.6</v>
      </c>
      <c r="N15" t="n">
        <v>18915</v>
      </c>
      <c r="O15" t="n">
        <v>888</v>
      </c>
      <c r="P15" t="n">
        <v>17313.8</v>
      </c>
      <c r="Q15" t="n">
        <v>118663</v>
      </c>
      <c r="R15" t="n">
        <v>277</v>
      </c>
      <c r="S15" t="inlineStr">
        <is>
          <t>.</t>
        </is>
      </c>
      <c r="T15" t="inlineStr">
        <is>
          <t>.</t>
        </is>
      </c>
      <c r="U15" t="inlineStr">
        <is>
          <t>.</t>
        </is>
      </c>
      <c r="V15" t="n">
        <v>32731.1</v>
      </c>
      <c r="W15" t="n">
        <v>219347</v>
      </c>
      <c r="X15" t="n">
        <v>10564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11804</v>
      </c>
      <c r="C16" t="inlineStr">
        <is>
          <t>Massachusetts Electric Co</t>
        </is>
      </c>
      <c r="D16" t="inlineStr">
        <is>
          <t>A</t>
        </is>
      </c>
      <c r="E16" t="inlineStr">
        <is>
          <t>Bundled</t>
        </is>
      </c>
      <c r="F16" t="inlineStr">
        <is>
          <t>O</t>
        </is>
      </c>
      <c r="G16" t="inlineStr">
        <is>
          <t>MA</t>
        </is>
      </c>
      <c r="H16" t="inlineStr">
        <is>
          <t>Investor Owned</t>
        </is>
      </c>
      <c r="I16" t="inlineStr">
        <is>
          <t>ISNE</t>
        </is>
      </c>
      <c r="J16" t="n">
        <v>1045148.2</v>
      </c>
      <c r="K16" t="n">
        <v>3110674</v>
      </c>
      <c r="L16" t="n">
        <v>526437</v>
      </c>
      <c r="M16" t="n">
        <v>239012.3</v>
      </c>
      <c r="N16" t="n">
        <v>1038014</v>
      </c>
      <c r="O16" t="n">
        <v>56090</v>
      </c>
      <c r="P16" t="n">
        <v>20703.1</v>
      </c>
      <c r="Q16" t="n">
        <v>86673</v>
      </c>
      <c r="R16" t="n">
        <v>926</v>
      </c>
      <c r="S16" t="inlineStr">
        <is>
          <t>.</t>
        </is>
      </c>
      <c r="T16" t="inlineStr">
        <is>
          <t>.</t>
        </is>
      </c>
      <c r="U16" t="inlineStr">
        <is>
          <t>.</t>
        </is>
      </c>
      <c r="V16" t="n">
        <v>1304863.6</v>
      </c>
      <c r="W16" t="n">
        <v>4235361</v>
      </c>
      <c r="X16" t="n">
        <v>583453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11804</v>
      </c>
      <c r="C17" t="inlineStr">
        <is>
          <t>Massachusetts Electric Co</t>
        </is>
      </c>
      <c r="D17" t="inlineStr">
        <is>
          <t>C</t>
        </is>
      </c>
      <c r="E17" t="inlineStr">
        <is>
          <t>Delivery</t>
        </is>
      </c>
      <c r="F17" t="inlineStr">
        <is>
          <t>O</t>
        </is>
      </c>
      <c r="G17" t="inlineStr">
        <is>
          <t>MA</t>
        </is>
      </c>
      <c r="H17" t="inlineStr">
        <is>
          <t>Investor Owned</t>
        </is>
      </c>
      <c r="I17" t="inlineStr">
        <is>
          <t>ISNE</t>
        </is>
      </c>
      <c r="J17" t="n">
        <v>788460.5</v>
      </c>
      <c r="K17" t="n">
        <v>4837264</v>
      </c>
      <c r="L17" t="n">
        <v>683676</v>
      </c>
      <c r="M17" t="n">
        <v>776270.1</v>
      </c>
      <c r="N17" t="n">
        <v>7682284</v>
      </c>
      <c r="O17" t="n">
        <v>104042</v>
      </c>
      <c r="P17" t="n">
        <v>198695.2</v>
      </c>
      <c r="Q17" t="n">
        <v>2271883</v>
      </c>
      <c r="R17" t="n">
        <v>2584</v>
      </c>
      <c r="S17" t="n">
        <v>169.9</v>
      </c>
      <c r="T17" t="n">
        <v>695</v>
      </c>
      <c r="U17" t="n">
        <v>1</v>
      </c>
      <c r="V17" t="n">
        <v>1763595.7</v>
      </c>
      <c r="W17" t="n">
        <v>14792126</v>
      </c>
      <c r="X17" t="n">
        <v>790303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12473</v>
      </c>
      <c r="C18" t="inlineStr">
        <is>
          <t>Town of Middleborough - (MA)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MA</t>
        </is>
      </c>
      <c r="H18" t="inlineStr">
        <is>
          <t>Municipal</t>
        </is>
      </c>
      <c r="I18" t="inlineStr">
        <is>
          <t>ISNE</t>
        </is>
      </c>
      <c r="J18" t="n">
        <v>22393.6</v>
      </c>
      <c r="K18" t="n">
        <v>141406</v>
      </c>
      <c r="L18" t="n">
        <v>14884</v>
      </c>
      <c r="M18" t="n">
        <v>19472.6</v>
      </c>
      <c r="N18" t="n">
        <v>130291</v>
      </c>
      <c r="O18" t="n">
        <v>3231</v>
      </c>
      <c r="P18" t="n">
        <v>5972.5</v>
      </c>
      <c r="Q18" t="n">
        <v>43896</v>
      </c>
      <c r="R18" t="n">
        <v>17</v>
      </c>
      <c r="S18" t="inlineStr">
        <is>
          <t>.</t>
        </is>
      </c>
      <c r="T18" t="inlineStr">
        <is>
          <t>.</t>
        </is>
      </c>
      <c r="U18" t="inlineStr">
        <is>
          <t>.</t>
        </is>
      </c>
      <c r="V18" t="n">
        <v>47838.7</v>
      </c>
      <c r="W18" t="n">
        <v>315593</v>
      </c>
      <c r="X18" t="n">
        <v>18132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13206</v>
      </c>
      <c r="C19" t="inlineStr">
        <is>
          <t>Nantucket Electric Co</t>
        </is>
      </c>
      <c r="D19" t="inlineStr">
        <is>
          <t>A</t>
        </is>
      </c>
      <c r="E19" t="inlineStr">
        <is>
          <t>Bundled</t>
        </is>
      </c>
      <c r="F19" t="inlineStr">
        <is>
          <t>O</t>
        </is>
      </c>
      <c r="G19" t="inlineStr">
        <is>
          <t>MA</t>
        </is>
      </c>
      <c r="H19" t="inlineStr">
        <is>
          <t>Investor Owned</t>
        </is>
      </c>
      <c r="I19" t="inlineStr">
        <is>
          <t>ISNE</t>
        </is>
      </c>
      <c r="J19" t="n">
        <v>6976.4</v>
      </c>
      <c r="K19" t="n">
        <v>19871</v>
      </c>
      <c r="L19" t="n">
        <v>2055</v>
      </c>
      <c r="M19" t="n">
        <v>750.2</v>
      </c>
      <c r="N19" t="n">
        <v>2489</v>
      </c>
      <c r="O19" t="n">
        <v>250</v>
      </c>
      <c r="P19" t="n">
        <v>7.6</v>
      </c>
      <c r="Q19" t="n">
        <v>25</v>
      </c>
      <c r="R19" t="n">
        <v>1</v>
      </c>
      <c r="S19" t="inlineStr">
        <is>
          <t>.</t>
        </is>
      </c>
      <c r="T19" t="inlineStr">
        <is>
          <t>.</t>
        </is>
      </c>
      <c r="U19" t="inlineStr">
        <is>
          <t>.</t>
        </is>
      </c>
      <c r="V19" t="n">
        <v>7734.2</v>
      </c>
      <c r="W19" t="n">
        <v>22385</v>
      </c>
      <c r="X19" t="n">
        <v>2306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13206</v>
      </c>
      <c r="C20" t="inlineStr">
        <is>
          <t>Nantucket Electric Co</t>
        </is>
      </c>
      <c r="D20" t="inlineStr">
        <is>
          <t>C</t>
        </is>
      </c>
      <c r="E20" t="inlineStr">
        <is>
          <t>Delivery</t>
        </is>
      </c>
      <c r="F20" t="inlineStr">
        <is>
          <t>O</t>
        </is>
      </c>
      <c r="G20" t="inlineStr">
        <is>
          <t>MA</t>
        </is>
      </c>
      <c r="H20" t="inlineStr">
        <is>
          <t>Investor Owned</t>
        </is>
      </c>
      <c r="I20" t="inlineStr">
        <is>
          <t>ISNE</t>
        </is>
      </c>
      <c r="J20" t="n">
        <v>19913.3</v>
      </c>
      <c r="K20" t="n">
        <v>110153</v>
      </c>
      <c r="L20" t="n">
        <v>10768</v>
      </c>
      <c r="M20" t="n">
        <v>6784.7</v>
      </c>
      <c r="N20" t="n">
        <v>54430</v>
      </c>
      <c r="O20" t="n">
        <v>1467</v>
      </c>
      <c r="P20" t="n">
        <v>66</v>
      </c>
      <c r="Q20" t="n">
        <v>571</v>
      </c>
      <c r="R20" t="n">
        <v>3</v>
      </c>
      <c r="S20" t="inlineStr">
        <is>
          <t>.</t>
        </is>
      </c>
      <c r="T20" t="inlineStr">
        <is>
          <t>.</t>
        </is>
      </c>
      <c r="U20" t="inlineStr">
        <is>
          <t>.</t>
        </is>
      </c>
      <c r="V20" t="n">
        <v>26764</v>
      </c>
      <c r="W20" t="n">
        <v>165154</v>
      </c>
      <c r="X20" t="n">
        <v>12238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13374</v>
      </c>
      <c r="C21" t="inlineStr">
        <is>
          <t>Constellation NewEnergy, Inc</t>
        </is>
      </c>
      <c r="D21" t="inlineStr">
        <is>
          <t>B</t>
        </is>
      </c>
      <c r="E21" t="inlineStr">
        <is>
          <t>Energy</t>
        </is>
      </c>
      <c r="F21" t="inlineStr">
        <is>
          <t>O</t>
        </is>
      </c>
      <c r="G21" t="inlineStr">
        <is>
          <t>MA</t>
        </is>
      </c>
      <c r="H21" t="inlineStr">
        <is>
          <t>Retail Power Marketer</t>
        </is>
      </c>
      <c r="I21" t="inlineStr">
        <is>
          <t>ISNE</t>
        </is>
      </c>
      <c r="J21" t="n">
        <v>302149.2</v>
      </c>
      <c r="K21" t="n">
        <v>1949741</v>
      </c>
      <c r="L21" t="n">
        <v>291382</v>
      </c>
      <c r="M21" t="n">
        <v>1027488.2</v>
      </c>
      <c r="N21" t="n">
        <v>8597724</v>
      </c>
      <c r="O21" t="n">
        <v>112456</v>
      </c>
      <c r="P21" t="n">
        <v>87674.60000000001</v>
      </c>
      <c r="Q21" t="n">
        <v>799891</v>
      </c>
      <c r="R21" t="n">
        <v>367</v>
      </c>
      <c r="S21" t="n">
        <v>5593</v>
      </c>
      <c r="T21" t="n">
        <v>37333</v>
      </c>
      <c r="U21" t="n">
        <v>1</v>
      </c>
      <c r="V21" t="n">
        <v>1422905</v>
      </c>
      <c r="W21" t="n">
        <v>11384689</v>
      </c>
      <c r="X21" t="n">
        <v>404206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13679</v>
      </c>
      <c r="C22" t="inlineStr">
        <is>
          <t>Town of North Attleborough - (MA)</t>
        </is>
      </c>
      <c r="D22" t="inlineStr">
        <is>
          <t>A</t>
        </is>
      </c>
      <c r="E22" t="inlineStr">
        <is>
          <t>Bundled</t>
        </is>
      </c>
      <c r="F22" t="inlineStr">
        <is>
          <t>O</t>
        </is>
      </c>
      <c r="G22" t="inlineStr">
        <is>
          <t>MA</t>
        </is>
      </c>
      <c r="H22" t="inlineStr">
        <is>
          <t>Municipal</t>
        </is>
      </c>
      <c r="I22" t="inlineStr">
        <is>
          <t>ISNE</t>
        </is>
      </c>
      <c r="J22" t="n">
        <v>18329.5</v>
      </c>
      <c r="K22" t="n">
        <v>115237</v>
      </c>
      <c r="L22" t="n">
        <v>12607</v>
      </c>
      <c r="M22" t="n">
        <v>5281</v>
      </c>
      <c r="N22" t="n">
        <v>33397</v>
      </c>
      <c r="O22" t="n">
        <v>1161</v>
      </c>
      <c r="P22" t="n">
        <v>9793.4</v>
      </c>
      <c r="Q22" t="n">
        <v>65305</v>
      </c>
      <c r="R22" t="n">
        <v>128</v>
      </c>
      <c r="S22" t="inlineStr">
        <is>
          <t>.</t>
        </is>
      </c>
      <c r="T22" t="inlineStr">
        <is>
          <t>.</t>
        </is>
      </c>
      <c r="U22" t="inlineStr">
        <is>
          <t>.</t>
        </is>
      </c>
      <c r="V22" t="n">
        <v>33403.9</v>
      </c>
      <c r="W22" t="n">
        <v>213939</v>
      </c>
      <c r="X22" t="n">
        <v>13896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13839</v>
      </c>
      <c r="C23" t="inlineStr">
        <is>
          <t>City of Norwood - (MA)</t>
        </is>
      </c>
      <c r="D23" t="inlineStr">
        <is>
          <t>A</t>
        </is>
      </c>
      <c r="E23" t="inlineStr">
        <is>
          <t>Bundled</t>
        </is>
      </c>
      <c r="F23" t="inlineStr">
        <is>
          <t>O</t>
        </is>
      </c>
      <c r="G23" t="inlineStr">
        <is>
          <t>MA</t>
        </is>
      </c>
      <c r="H23" t="inlineStr">
        <is>
          <t>Municipal</t>
        </is>
      </c>
      <c r="I23" t="inlineStr">
        <is>
          <t>ISNE</t>
        </is>
      </c>
      <c r="J23" t="n">
        <v>15915.8</v>
      </c>
      <c r="K23" t="n">
        <v>90086</v>
      </c>
      <c r="L23" t="n">
        <v>13601</v>
      </c>
      <c r="M23" t="n">
        <v>20461.5</v>
      </c>
      <c r="N23" t="n">
        <v>104543</v>
      </c>
      <c r="O23" t="n">
        <v>2148</v>
      </c>
      <c r="P23" t="n">
        <v>19512.3</v>
      </c>
      <c r="Q23" t="n">
        <v>124942</v>
      </c>
      <c r="R23" t="n">
        <v>45</v>
      </c>
      <c r="S23" t="inlineStr">
        <is>
          <t>.</t>
        </is>
      </c>
      <c r="T23" t="inlineStr">
        <is>
          <t>.</t>
        </is>
      </c>
      <c r="U23" t="inlineStr">
        <is>
          <t>.</t>
        </is>
      </c>
      <c r="V23" t="n">
        <v>55889.6</v>
      </c>
      <c r="W23" t="n">
        <v>319571</v>
      </c>
      <c r="X23" t="n">
        <v>15794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14605</v>
      </c>
      <c r="C24" t="inlineStr">
        <is>
          <t>City of Peabody - (MA)</t>
        </is>
      </c>
      <c r="D24" t="inlineStr">
        <is>
          <t>A</t>
        </is>
      </c>
      <c r="E24" t="inlineStr">
        <is>
          <t>Bundled</t>
        </is>
      </c>
      <c r="F24" t="inlineStr">
        <is>
          <t>O</t>
        </is>
      </c>
      <c r="G24" t="inlineStr">
        <is>
          <t>MA</t>
        </is>
      </c>
      <c r="H24" t="inlineStr">
        <is>
          <t>Municipal</t>
        </is>
      </c>
      <c r="I24" t="inlineStr">
        <is>
          <t>ISNE</t>
        </is>
      </c>
      <c r="J24" t="n">
        <v>30371.2</v>
      </c>
      <c r="K24" t="n">
        <v>193326</v>
      </c>
      <c r="L24" t="n">
        <v>22546</v>
      </c>
      <c r="M24" t="n">
        <v>5880.6</v>
      </c>
      <c r="N24" t="n">
        <v>31571</v>
      </c>
      <c r="O24" t="n">
        <v>2673</v>
      </c>
      <c r="P24" t="n">
        <v>39206.7</v>
      </c>
      <c r="Q24" t="n">
        <v>244352</v>
      </c>
      <c r="R24" t="n">
        <v>1867</v>
      </c>
      <c r="S24" t="n">
        <v>0</v>
      </c>
      <c r="T24" t="n">
        <v>0</v>
      </c>
      <c r="U24" t="n">
        <v>0</v>
      </c>
      <c r="V24" t="n">
        <v>75458.5</v>
      </c>
      <c r="W24" t="n">
        <v>469249</v>
      </c>
      <c r="X24" t="n">
        <v>27086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15748</v>
      </c>
      <c r="C25" t="inlineStr">
        <is>
          <t>Town of Reading - (MA)</t>
        </is>
      </c>
      <c r="D25" t="inlineStr">
        <is>
          <t>A</t>
        </is>
      </c>
      <c r="E25" t="inlineStr">
        <is>
          <t>Bundled</t>
        </is>
      </c>
      <c r="F25" t="inlineStr">
        <is>
          <t>O</t>
        </is>
      </c>
      <c r="G25" t="inlineStr">
        <is>
          <t>MA</t>
        </is>
      </c>
      <c r="H25" t="inlineStr">
        <is>
          <t>Municipal</t>
        </is>
      </c>
      <c r="I25" t="inlineStr">
        <is>
          <t>ISNE</t>
        </is>
      </c>
      <c r="J25" t="n">
        <v>41138.6</v>
      </c>
      <c r="K25" t="n">
        <v>259395</v>
      </c>
      <c r="L25" t="n">
        <v>27405</v>
      </c>
      <c r="M25" t="n">
        <v>49749.5</v>
      </c>
      <c r="N25" t="n">
        <v>379553</v>
      </c>
      <c r="O25" t="n">
        <v>3295</v>
      </c>
      <c r="P25" t="inlineStr">
        <is>
          <t>.</t>
        </is>
      </c>
      <c r="Q25" t="inlineStr">
        <is>
          <t>.</t>
        </is>
      </c>
      <c r="R25" t="inlineStr">
        <is>
          <t>.</t>
        </is>
      </c>
      <c r="S25" t="inlineStr">
        <is>
          <t>.</t>
        </is>
      </c>
      <c r="T25" t="inlineStr">
        <is>
          <t>.</t>
        </is>
      </c>
      <c r="U25" t="inlineStr">
        <is>
          <t>.</t>
        </is>
      </c>
      <c r="V25" t="n">
        <v>90888.10000000001</v>
      </c>
      <c r="W25" t="n">
        <v>638948</v>
      </c>
      <c r="X25" t="n">
        <v>30700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16840</v>
      </c>
      <c r="C26" t="inlineStr">
        <is>
          <t>Calpine Energy Solutions, LLC</t>
        </is>
      </c>
      <c r="D26" t="inlineStr">
        <is>
          <t>B</t>
        </is>
      </c>
      <c r="E26" t="inlineStr">
        <is>
          <t>Energy</t>
        </is>
      </c>
      <c r="F26" t="inlineStr">
        <is>
          <t>O</t>
        </is>
      </c>
      <c r="G26" t="inlineStr">
        <is>
          <t>MA</t>
        </is>
      </c>
      <c r="H26" t="inlineStr">
        <is>
          <t>Retail Power Marketer</t>
        </is>
      </c>
      <c r="I26" t="inlineStr">
        <is>
          <t>ISNE</t>
        </is>
      </c>
      <c r="J26" t="n">
        <v>0</v>
      </c>
      <c r="K26" t="n">
        <v>0</v>
      </c>
      <c r="L26" t="n">
        <v>0</v>
      </c>
      <c r="M26" t="n">
        <v>123332.9</v>
      </c>
      <c r="N26" t="n">
        <v>1237268</v>
      </c>
      <c r="O26" t="n">
        <v>47</v>
      </c>
      <c r="P26" t="n">
        <v>7524</v>
      </c>
      <c r="Q26" t="n">
        <v>84532</v>
      </c>
      <c r="R26" t="n">
        <v>7</v>
      </c>
      <c r="S26" t="n">
        <v>0</v>
      </c>
      <c r="T26" t="n">
        <v>0</v>
      </c>
      <c r="U26" t="n">
        <v>0</v>
      </c>
      <c r="V26" t="n">
        <v>130856.9</v>
      </c>
      <c r="W26" t="n">
        <v>1321800</v>
      </c>
      <c r="X26" t="n">
        <v>54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17127</v>
      </c>
      <c r="C27" t="inlineStr">
        <is>
          <t>Town of Shrewsbury - (MA)</t>
        </is>
      </c>
      <c r="D27" t="inlineStr">
        <is>
          <t>A</t>
        </is>
      </c>
      <c r="E27" t="inlineStr">
        <is>
          <t>Bundled</t>
        </is>
      </c>
      <c r="F27" t="inlineStr">
        <is>
          <t>O</t>
        </is>
      </c>
      <c r="G27" t="inlineStr">
        <is>
          <t>MA</t>
        </is>
      </c>
      <c r="H27" t="inlineStr">
        <is>
          <t>Municipal</t>
        </is>
      </c>
      <c r="I27" t="inlineStr">
        <is>
          <t>ISNE</t>
        </is>
      </c>
      <c r="J27" t="n">
        <v>19669</v>
      </c>
      <c r="K27" t="n">
        <v>137811</v>
      </c>
      <c r="L27" t="n">
        <v>15713</v>
      </c>
      <c r="M27" t="n">
        <v>6535</v>
      </c>
      <c r="N27" t="n">
        <v>44781</v>
      </c>
      <c r="O27" t="n">
        <v>1171</v>
      </c>
      <c r="P27" t="n">
        <v>11705</v>
      </c>
      <c r="Q27" t="n">
        <v>96656</v>
      </c>
      <c r="R27" t="n">
        <v>102</v>
      </c>
      <c r="S27" t="inlineStr">
        <is>
          <t>.</t>
        </is>
      </c>
      <c r="T27" t="inlineStr">
        <is>
          <t>.</t>
        </is>
      </c>
      <c r="U27" t="inlineStr">
        <is>
          <t>.</t>
        </is>
      </c>
      <c r="V27" t="n">
        <v>37909</v>
      </c>
      <c r="W27" t="n">
        <v>279248</v>
      </c>
      <c r="X27" t="n">
        <v>16986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18193</v>
      </c>
      <c r="C28" t="inlineStr">
        <is>
          <t>Direct Energy Business</t>
        </is>
      </c>
      <c r="D28" t="inlineStr">
        <is>
          <t>B</t>
        </is>
      </c>
      <c r="E28" t="inlineStr">
        <is>
          <t>Energy</t>
        </is>
      </c>
      <c r="F28" t="inlineStr">
        <is>
          <t>O</t>
        </is>
      </c>
      <c r="G28" t="inlineStr">
        <is>
          <t>MA</t>
        </is>
      </c>
      <c r="H28" t="inlineStr">
        <is>
          <t>Retail Power Marketer</t>
        </is>
      </c>
      <c r="I28" t="inlineStr">
        <is>
          <t>ISNE</t>
        </is>
      </c>
      <c r="J28" t="n">
        <v>0</v>
      </c>
      <c r="K28" t="n">
        <v>0</v>
      </c>
      <c r="L28" t="n">
        <v>0</v>
      </c>
      <c r="M28" t="n">
        <v>68609.60000000001</v>
      </c>
      <c r="N28" t="n">
        <v>554451</v>
      </c>
      <c r="O28" t="n">
        <v>2178</v>
      </c>
      <c r="P28" t="n">
        <v>229490</v>
      </c>
      <c r="Q28" t="n">
        <v>2069315</v>
      </c>
      <c r="R28" t="n">
        <v>311</v>
      </c>
      <c r="S28" t="n">
        <v>0</v>
      </c>
      <c r="T28" t="n">
        <v>0</v>
      </c>
      <c r="U28" t="n">
        <v>0</v>
      </c>
      <c r="V28" t="n">
        <v>298099.6</v>
      </c>
      <c r="W28" t="n">
        <v>2623766</v>
      </c>
      <c r="X28" t="n">
        <v>2489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18488</v>
      </c>
      <c r="C29" t="inlineStr">
        <is>
          <t>City of Taunton</t>
        </is>
      </c>
      <c r="D29" t="inlineStr">
        <is>
          <t>A</t>
        </is>
      </c>
      <c r="E29" t="inlineStr">
        <is>
          <t>Bundled</t>
        </is>
      </c>
      <c r="F29" t="inlineStr">
        <is>
          <t>O</t>
        </is>
      </c>
      <c r="G29" t="inlineStr">
        <is>
          <t>MA</t>
        </is>
      </c>
      <c r="H29" t="inlineStr">
        <is>
          <t>Municipal</t>
        </is>
      </c>
      <c r="I29" t="inlineStr">
        <is>
          <t>ISNE</t>
        </is>
      </c>
      <c r="J29" t="n">
        <v>57189</v>
      </c>
      <c r="K29" t="n">
        <v>266446</v>
      </c>
      <c r="L29" t="n">
        <v>35684</v>
      </c>
      <c r="M29" t="n">
        <v>31161</v>
      </c>
      <c r="N29" t="n">
        <v>137732</v>
      </c>
      <c r="O29" t="n">
        <v>4545</v>
      </c>
      <c r="P29" t="n">
        <v>36670</v>
      </c>
      <c r="Q29" t="n">
        <v>192022</v>
      </c>
      <c r="R29" t="n">
        <v>461</v>
      </c>
      <c r="S29" t="inlineStr">
        <is>
          <t>.</t>
        </is>
      </c>
      <c r="T29" t="inlineStr">
        <is>
          <t>.</t>
        </is>
      </c>
      <c r="U29" t="inlineStr">
        <is>
          <t>.</t>
        </is>
      </c>
      <c r="V29" t="n">
        <v>125020</v>
      </c>
      <c r="W29" t="n">
        <v>596200</v>
      </c>
      <c r="X29" t="n">
        <v>40690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19107</v>
      </c>
      <c r="C30" t="inlineStr">
        <is>
          <t>ENGIE Resources LLC</t>
        </is>
      </c>
      <c r="D30" t="inlineStr">
        <is>
          <t>B</t>
        </is>
      </c>
      <c r="E30" t="inlineStr">
        <is>
          <t>Energy</t>
        </is>
      </c>
      <c r="F30" t="inlineStr">
        <is>
          <t>O</t>
        </is>
      </c>
      <c r="G30" t="inlineStr">
        <is>
          <t>MA</t>
        </is>
      </c>
      <c r="H30" t="inlineStr">
        <is>
          <t>Retail Power Marketer</t>
        </is>
      </c>
      <c r="I30" t="inlineStr">
        <is>
          <t>ISNE</t>
        </is>
      </c>
      <c r="J30" t="n">
        <v>0</v>
      </c>
      <c r="K30" t="n">
        <v>0</v>
      </c>
      <c r="L30" t="n">
        <v>0</v>
      </c>
      <c r="M30" t="n">
        <v>154030.6</v>
      </c>
      <c r="N30" t="n">
        <v>1312180</v>
      </c>
      <c r="O30" t="n">
        <v>1281</v>
      </c>
      <c r="P30" t="n">
        <v>23424</v>
      </c>
      <c r="Q30" t="n">
        <v>199550</v>
      </c>
      <c r="R30" t="n">
        <v>195</v>
      </c>
      <c r="S30" t="n">
        <v>0</v>
      </c>
      <c r="T30" t="n">
        <v>0</v>
      </c>
      <c r="U30" t="n">
        <v>0</v>
      </c>
      <c r="V30" t="n">
        <v>177454.6</v>
      </c>
      <c r="W30" t="n">
        <v>1511730</v>
      </c>
      <c r="X30" t="n">
        <v>1476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20310</v>
      </c>
      <c r="C31" t="inlineStr">
        <is>
          <t>Town of Wellesley - (MA)</t>
        </is>
      </c>
      <c r="D31" t="inlineStr">
        <is>
          <t>A</t>
        </is>
      </c>
      <c r="E31" t="inlineStr">
        <is>
          <t>Bundled</t>
        </is>
      </c>
      <c r="F31" t="inlineStr">
        <is>
          <t>O</t>
        </is>
      </c>
      <c r="G31" t="inlineStr">
        <is>
          <t>MA</t>
        </is>
      </c>
      <c r="H31" t="inlineStr">
        <is>
          <t>Municipal</t>
        </is>
      </c>
      <c r="I31" t="inlineStr">
        <is>
          <t>ISNE</t>
        </is>
      </c>
      <c r="J31" t="n">
        <v>17933.1</v>
      </c>
      <c r="K31" t="n">
        <v>110693</v>
      </c>
      <c r="L31" t="n">
        <v>9437</v>
      </c>
      <c r="M31" t="n">
        <v>13981.5</v>
      </c>
      <c r="N31" t="n">
        <v>91679</v>
      </c>
      <c r="O31" t="n">
        <v>1219</v>
      </c>
      <c r="P31" t="n">
        <v>6148.4</v>
      </c>
      <c r="Q31" t="n">
        <v>42493</v>
      </c>
      <c r="R31" t="n">
        <v>5</v>
      </c>
      <c r="S31" t="n">
        <v>0</v>
      </c>
      <c r="T31" t="n">
        <v>0</v>
      </c>
      <c r="U31" t="n">
        <v>0</v>
      </c>
      <c r="V31" t="n">
        <v>38063</v>
      </c>
      <c r="W31" t="n">
        <v>244865</v>
      </c>
      <c r="X31" t="n">
        <v>10661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20310</v>
      </c>
      <c r="C32" t="inlineStr">
        <is>
          <t>Town of Wellesley - (MA)</t>
        </is>
      </c>
      <c r="D32" t="inlineStr">
        <is>
          <t>C</t>
        </is>
      </c>
      <c r="E32" t="inlineStr">
        <is>
          <t>Delivery</t>
        </is>
      </c>
      <c r="F32" t="inlineStr">
        <is>
          <t>O</t>
        </is>
      </c>
      <c r="G32" t="inlineStr">
        <is>
          <t>MA</t>
        </is>
      </c>
      <c r="H32" t="inlineStr">
        <is>
          <t>Municipal</t>
        </is>
      </c>
      <c r="I32" t="inlineStr">
        <is>
          <t>ISNE</t>
        </is>
      </c>
      <c r="J32" t="n">
        <v>0</v>
      </c>
      <c r="K32" t="n">
        <v>0</v>
      </c>
      <c r="L32" t="n">
        <v>0</v>
      </c>
      <c r="M32" t="n">
        <v>13.8</v>
      </c>
      <c r="N32" t="n">
        <v>458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13.8</v>
      </c>
      <c r="W32" t="n">
        <v>458</v>
      </c>
      <c r="X32" t="n">
        <v>1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  <row r="33">
      <c r="A33" t="n">
        <v>2024</v>
      </c>
      <c r="B33" t="n">
        <v>20481</v>
      </c>
      <c r="C33" t="inlineStr">
        <is>
          <t>City of Westfield - (MA)</t>
        </is>
      </c>
      <c r="D33" t="inlineStr">
        <is>
          <t>A</t>
        </is>
      </c>
      <c r="E33" t="inlineStr">
        <is>
          <t>Bundled</t>
        </is>
      </c>
      <c r="F33" t="inlineStr">
        <is>
          <t>O</t>
        </is>
      </c>
      <c r="G33" t="inlineStr">
        <is>
          <t>MA</t>
        </is>
      </c>
      <c r="H33" t="inlineStr">
        <is>
          <t>Municipal</t>
        </is>
      </c>
      <c r="I33" t="inlineStr">
        <is>
          <t>ISNE</t>
        </is>
      </c>
      <c r="J33" t="n">
        <v>22857</v>
      </c>
      <c r="K33" t="n">
        <v>129962</v>
      </c>
      <c r="L33" t="n">
        <v>16200</v>
      </c>
      <c r="M33" t="n">
        <v>20379</v>
      </c>
      <c r="N33" t="n">
        <v>100674</v>
      </c>
      <c r="O33" t="n">
        <v>2078</v>
      </c>
      <c r="P33" t="n">
        <v>21601</v>
      </c>
      <c r="Q33" t="n">
        <v>121574</v>
      </c>
      <c r="R33" t="n">
        <v>66</v>
      </c>
      <c r="S33" t="inlineStr">
        <is>
          <t>.</t>
        </is>
      </c>
      <c r="T33" t="inlineStr">
        <is>
          <t>.</t>
        </is>
      </c>
      <c r="U33" t="inlineStr">
        <is>
          <t>.</t>
        </is>
      </c>
      <c r="V33" t="n">
        <v>64837</v>
      </c>
      <c r="W33" t="n">
        <v>352210</v>
      </c>
      <c r="X33" t="n">
        <v>18344</v>
      </c>
      <c r="Y33">
        <f>IF(ISNUMBER($W33),$W33,0)</f>
        <v/>
      </c>
      <c r="Z33">
        <f>IF(ISNUMBER(SEARCH("Adjustment",$C33)),"excluded",IF($H33="Behind the Meter","excluded",IF(NOT(OR($E33="Bundled",$E33="Energy")),"excluded",IF(OR($H33="Retail Power Marketer",$H33="Community Choice Aggregator",$E33="Energy"),"procurement",IF(OR($H33="Municipal",$H33="Cooperative",$H33="Federal",$H33="State",$H33="Political Subdivision"),"cost_service",IF($H33="Investor Owned",IF(AND(COUNTIF(Parameters!$A$4:$A$33,$G33)&gt;0,COUNTIF(Parameters!$B$4:$B$33,$B33)=0),"procurement","cost_service"),"unclassified"))))))</f>
        <v/>
      </c>
    </row>
    <row r="34">
      <c r="A34" t="n">
        <v>2024</v>
      </c>
      <c r="B34" t="n">
        <v>49848</v>
      </c>
      <c r="C34" t="inlineStr">
        <is>
          <t>Massachusetts Bay Trans Authority</t>
        </is>
      </c>
      <c r="D34" t="inlineStr">
        <is>
          <t>B</t>
        </is>
      </c>
      <c r="E34" t="inlineStr">
        <is>
          <t>Energy</t>
        </is>
      </c>
      <c r="F34" t="inlineStr">
        <is>
          <t>O</t>
        </is>
      </c>
      <c r="G34" t="inlineStr">
        <is>
          <t>MA</t>
        </is>
      </c>
      <c r="H34" t="inlineStr">
        <is>
          <t>Political Subdivision</t>
        </is>
      </c>
      <c r="I34" t="inlineStr">
        <is>
          <t>ISNE</t>
        </is>
      </c>
      <c r="J34" t="n">
        <v>0</v>
      </c>
      <c r="K34" t="n">
        <v>0</v>
      </c>
      <c r="L34" t="n">
        <v>0</v>
      </c>
      <c r="M34" t="n">
        <v>767.9</v>
      </c>
      <c r="N34" t="n">
        <v>2753</v>
      </c>
      <c r="O34" t="n">
        <v>66</v>
      </c>
      <c r="P34" t="n">
        <v>0</v>
      </c>
      <c r="Q34" t="n">
        <v>0</v>
      </c>
      <c r="R34" t="n">
        <v>0</v>
      </c>
      <c r="S34" t="n">
        <v>4155.3</v>
      </c>
      <c r="T34" t="n">
        <v>33840</v>
      </c>
      <c r="U34" t="n">
        <v>2</v>
      </c>
      <c r="V34" t="n">
        <v>4923.2</v>
      </c>
      <c r="W34" t="n">
        <v>36593</v>
      </c>
      <c r="X34" t="n">
        <v>68</v>
      </c>
      <c r="Y34">
        <f>IF(ISNUMBER($W34),$W34,0)</f>
        <v/>
      </c>
      <c r="Z34">
        <f>IF(ISNUMBER(SEARCH("Adjustment",$C34)),"excluded",IF($H34="Behind the Meter","excluded",IF(NOT(OR($E34="Bundled",$E34="Energy")),"excluded",IF(OR($H34="Retail Power Marketer",$H34="Community Choice Aggregator",$E34="Energy"),"procurement",IF(OR($H34="Municipal",$H34="Cooperative",$H34="Federal",$H34="State",$H34="Political Subdivision"),"cost_service",IF($H34="Investor Owned",IF(AND(COUNTIF(Parameters!$A$4:$A$33,$G34)&gt;0,COUNTIF(Parameters!$B$4:$B$33,$B34)=0),"procurement","cost_service"),"unclassified"))))))</f>
        <v/>
      </c>
    </row>
    <row r="35">
      <c r="A35" t="n">
        <v>2024</v>
      </c>
      <c r="B35" t="n">
        <v>49987</v>
      </c>
      <c r="C35" t="inlineStr">
        <is>
          <t>Harvard Dedicated Energy Limit</t>
        </is>
      </c>
      <c r="D35" t="inlineStr">
        <is>
          <t>B</t>
        </is>
      </c>
      <c r="E35" t="inlineStr">
        <is>
          <t>Energy</t>
        </is>
      </c>
      <c r="F35" t="inlineStr">
        <is>
          <t>O</t>
        </is>
      </c>
      <c r="G35" t="inlineStr">
        <is>
          <t>MA</t>
        </is>
      </c>
      <c r="H35" t="inlineStr">
        <is>
          <t>Retail Power Marketer</t>
        </is>
      </c>
      <c r="I35" t="inlineStr">
        <is>
          <t>ISNE</t>
        </is>
      </c>
      <c r="J35" t="n">
        <v>0</v>
      </c>
      <c r="K35" t="n">
        <v>0</v>
      </c>
      <c r="L35" t="n">
        <v>0</v>
      </c>
      <c r="M35" t="n">
        <v>9419.5</v>
      </c>
      <c r="N35" t="n">
        <v>142288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9419.5</v>
      </c>
      <c r="W35" t="n">
        <v>142288</v>
      </c>
      <c r="X35" t="n">
        <v>1</v>
      </c>
      <c r="Y35">
        <f>IF(ISNUMBER($W35),$W35,0)</f>
        <v/>
      </c>
      <c r="Z35">
        <f>IF(ISNUMBER(SEARCH("Adjustment",$C35)),"excluded",IF($H35="Behind the Meter","excluded",IF(NOT(OR($E35="Bundled",$E35="Energy")),"excluded",IF(OR($H35="Retail Power Marketer",$H35="Community Choice Aggregator",$E35="Energy"),"procurement",IF(OR($H35="Municipal",$H35="Cooperative",$H35="Federal",$H35="State",$H35="Political Subdivision"),"cost_service",IF($H35="Investor Owned",IF(AND(COUNTIF(Parameters!$A$4:$A$33,$G35)&gt;0,COUNTIF(Parameters!$B$4:$B$33,$B35)=0),"procurement","cost_service"),"unclassified"))))))</f>
        <v/>
      </c>
    </row>
    <row r="36">
      <c r="A36" t="n">
        <v>2024</v>
      </c>
      <c r="B36" t="n">
        <v>50046</v>
      </c>
      <c r="C36" t="inlineStr">
        <is>
          <t>Texas Retail Energy, LLC</t>
        </is>
      </c>
      <c r="D36" t="inlineStr">
        <is>
          <t>B</t>
        </is>
      </c>
      <c r="E36" t="inlineStr">
        <is>
          <t>Energy</t>
        </is>
      </c>
      <c r="F36" t="inlineStr">
        <is>
          <t>O</t>
        </is>
      </c>
      <c r="G36" t="inlineStr">
        <is>
          <t>MA</t>
        </is>
      </c>
      <c r="H36" t="inlineStr">
        <is>
          <t>Retail Power Marketer</t>
        </is>
      </c>
      <c r="I36" t="inlineStr">
        <is>
          <t>ISNE</t>
        </is>
      </c>
      <c r="J36" t="n">
        <v>0</v>
      </c>
      <c r="K36" t="n">
        <v>0</v>
      </c>
      <c r="L36" t="n">
        <v>0</v>
      </c>
      <c r="M36" t="n">
        <v>10843.5</v>
      </c>
      <c r="N36" t="n">
        <v>81954</v>
      </c>
      <c r="O36" t="n">
        <v>47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10843.5</v>
      </c>
      <c r="W36" t="n">
        <v>81954</v>
      </c>
      <c r="X36" t="n">
        <v>47</v>
      </c>
      <c r="Y36">
        <f>IF(ISNUMBER($W36),$W36,0)</f>
        <v/>
      </c>
      <c r="Z36">
        <f>IF(ISNUMBER(SEARCH("Adjustment",$C36)),"excluded",IF($H36="Behind the Meter","excluded",IF(NOT(OR($E36="Bundled",$E36="Energy")),"excluded",IF(OR($H36="Retail Power Marketer",$H36="Community Choice Aggregator",$E36="Energy"),"procurement",IF(OR($H36="Municipal",$H36="Cooperative",$H36="Federal",$H36="State",$H36="Political Subdivision"),"cost_service",IF($H36="Investor Owned",IF(AND(COUNTIF(Parameters!$A$4:$A$33,$G36)&gt;0,COUNTIF(Parameters!$B$4:$B$33,$B36)=0),"procurement","cost_service"),"unclassified"))))))</f>
        <v/>
      </c>
    </row>
    <row r="37">
      <c r="A37" t="n">
        <v>2024</v>
      </c>
      <c r="B37" t="n">
        <v>54820</v>
      </c>
      <c r="C37" t="inlineStr">
        <is>
          <t>Direct Energy Services</t>
        </is>
      </c>
      <c r="D37" t="inlineStr">
        <is>
          <t>B</t>
        </is>
      </c>
      <c r="E37" t="inlineStr">
        <is>
          <t>Energy</t>
        </is>
      </c>
      <c r="F37" t="inlineStr">
        <is>
          <t>O</t>
        </is>
      </c>
      <c r="G37" t="inlineStr">
        <is>
          <t>MA</t>
        </is>
      </c>
      <c r="H37" t="inlineStr">
        <is>
          <t>Retail Power Marketer</t>
        </is>
      </c>
      <c r="I37" t="inlineStr">
        <is>
          <t>ISNE</t>
        </is>
      </c>
      <c r="J37" t="n">
        <v>571935.9</v>
      </c>
      <c r="K37" t="n">
        <v>3776829</v>
      </c>
      <c r="L37" t="n">
        <v>498718</v>
      </c>
      <c r="M37" t="n">
        <v>6793</v>
      </c>
      <c r="N37" t="n">
        <v>49202</v>
      </c>
      <c r="O37" t="n">
        <v>3247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578728.9</v>
      </c>
      <c r="W37" t="n">
        <v>3826031</v>
      </c>
      <c r="X37" t="n">
        <v>501965</v>
      </c>
      <c r="Y37">
        <f>IF(ISNUMBER($W37),$W37,0)</f>
        <v/>
      </c>
      <c r="Z37">
        <f>IF(ISNUMBER(SEARCH("Adjustment",$C37)),"excluded",IF($H37="Behind the Meter","excluded",IF(NOT(OR($E37="Bundled",$E37="Energy")),"excluded",IF(OR($H37="Retail Power Marketer",$H37="Community Choice Aggregator",$E37="Energy"),"procurement",IF(OR($H37="Municipal",$H37="Cooperative",$H37="Federal",$H37="State",$H37="Political Subdivision"),"cost_service",IF($H37="Investor Owned",IF(AND(COUNTIF(Parameters!$A$4:$A$33,$G37)&gt;0,COUNTIF(Parameters!$B$4:$B$33,$B37)=0),"procurement","cost_service"),"unclassified"))))))</f>
        <v/>
      </c>
    </row>
    <row r="38">
      <c r="A38" t="n">
        <v>2024</v>
      </c>
      <c r="B38" t="n">
        <v>54862</v>
      </c>
      <c r="C38" t="inlineStr">
        <is>
          <t>Champion Energy Services</t>
        </is>
      </c>
      <c r="D38" t="inlineStr">
        <is>
          <t>B</t>
        </is>
      </c>
      <c r="E38" t="inlineStr">
        <is>
          <t>Energy</t>
        </is>
      </c>
      <c r="F38" t="inlineStr">
        <is>
          <t>O</t>
        </is>
      </c>
      <c r="G38" t="inlineStr">
        <is>
          <t>MA</t>
        </is>
      </c>
      <c r="H38" t="inlineStr">
        <is>
          <t>Retail Power Marketer</t>
        </is>
      </c>
      <c r="I38" t="inlineStr">
        <is>
          <t>ISNE</t>
        </is>
      </c>
      <c r="J38" t="n">
        <v>0</v>
      </c>
      <c r="K38" t="n">
        <v>0</v>
      </c>
      <c r="L38" t="n">
        <v>0</v>
      </c>
      <c r="M38" t="n">
        <v>20397</v>
      </c>
      <c r="N38" t="n">
        <v>195198</v>
      </c>
      <c r="O38" t="n">
        <v>563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20397</v>
      </c>
      <c r="W38" t="n">
        <v>195198</v>
      </c>
      <c r="X38" t="n">
        <v>563</v>
      </c>
      <c r="Y38">
        <f>IF(ISNUMBER($W38),$W38,0)</f>
        <v/>
      </c>
      <c r="Z38">
        <f>IF(ISNUMBER(SEARCH("Adjustment",$C38)),"excluded",IF($H38="Behind the Meter","excluded",IF(NOT(OR($E38="Bundled",$E38="Energy")),"excluded",IF(OR($H38="Retail Power Marketer",$H38="Community Choice Aggregator",$E38="Energy"),"procurement",IF(OR($H38="Municipal",$H38="Cooperative",$H38="Federal",$H38="State",$H38="Political Subdivision"),"cost_service",IF($H38="Investor Owned",IF(AND(COUNTIF(Parameters!$A$4:$A$33,$G38)&gt;0,COUNTIF(Parameters!$B$4:$B$33,$B38)=0),"procurement","cost_service"),"unclassified"))))))</f>
        <v/>
      </c>
    </row>
    <row r="39">
      <c r="A39" t="n">
        <v>2024</v>
      </c>
      <c r="B39" t="n">
        <v>54913</v>
      </c>
      <c r="C39" t="inlineStr">
        <is>
          <t>NSTAR Electric Company</t>
        </is>
      </c>
      <c r="D39" t="inlineStr">
        <is>
          <t>A</t>
        </is>
      </c>
      <c r="E39" t="inlineStr">
        <is>
          <t>Bundled</t>
        </is>
      </c>
      <c r="F39" t="inlineStr">
        <is>
          <t>O</t>
        </is>
      </c>
      <c r="G39" t="inlineStr">
        <is>
          <t>MA</t>
        </is>
      </c>
      <c r="H39" t="inlineStr">
        <is>
          <t>Investor Owned</t>
        </is>
      </c>
      <c r="I39" t="inlineStr">
        <is>
          <t>ISNE</t>
        </is>
      </c>
      <c r="J39" t="n">
        <v>630364</v>
      </c>
      <c r="K39" t="n">
        <v>2107270</v>
      </c>
      <c r="L39" t="n">
        <v>383373</v>
      </c>
      <c r="M39" t="n">
        <v>221516</v>
      </c>
      <c r="N39" t="n">
        <v>820406</v>
      </c>
      <c r="O39" t="n">
        <v>45206</v>
      </c>
      <c r="P39" t="n">
        <v>15711</v>
      </c>
      <c r="Q39" t="n">
        <v>61989</v>
      </c>
      <c r="R39" t="n">
        <v>540</v>
      </c>
      <c r="S39" t="n">
        <v>0</v>
      </c>
      <c r="T39" t="n">
        <v>0</v>
      </c>
      <c r="U39" t="n">
        <v>0</v>
      </c>
      <c r="V39" t="n">
        <v>867591</v>
      </c>
      <c r="W39" t="n">
        <v>2989665</v>
      </c>
      <c r="X39" t="n">
        <v>429119</v>
      </c>
      <c r="Y39">
        <f>IF(ISNUMBER($W39),$W39,0)</f>
        <v/>
      </c>
      <c r="Z39">
        <f>IF(ISNUMBER(SEARCH("Adjustment",$C39)),"excluded",IF($H39="Behind the Meter","excluded",IF(NOT(OR($E39="Bundled",$E39="Energy")),"excluded",IF(OR($H39="Retail Power Marketer",$H39="Community Choice Aggregator",$E39="Energy"),"procurement",IF(OR($H39="Municipal",$H39="Cooperative",$H39="Federal",$H39="State",$H39="Political Subdivision"),"cost_service",IF($H39="Investor Owned",IF(AND(COUNTIF(Parameters!$A$4:$A$33,$G39)&gt;0,COUNTIF(Parameters!$B$4:$B$33,$B39)=0),"procurement","cost_service"),"unclassified"))))))</f>
        <v/>
      </c>
    </row>
    <row r="40">
      <c r="A40" t="n">
        <v>2024</v>
      </c>
      <c r="B40" t="n">
        <v>54913</v>
      </c>
      <c r="C40" t="inlineStr">
        <is>
          <t>NSTAR Electric Company</t>
        </is>
      </c>
      <c r="D40" t="inlineStr">
        <is>
          <t>C</t>
        </is>
      </c>
      <c r="E40" t="inlineStr">
        <is>
          <t>Delivery</t>
        </is>
      </c>
      <c r="F40" t="inlineStr">
        <is>
          <t>O</t>
        </is>
      </c>
      <c r="G40" t="inlineStr">
        <is>
          <t>MA</t>
        </is>
      </c>
      <c r="H40" t="inlineStr">
        <is>
          <t>Investor Owned</t>
        </is>
      </c>
      <c r="I40" t="inlineStr">
        <is>
          <t>ISNE</t>
        </is>
      </c>
      <c r="J40" t="n">
        <v>938245</v>
      </c>
      <c r="K40" t="n">
        <v>5766515</v>
      </c>
      <c r="L40" t="n">
        <v>919703</v>
      </c>
      <c r="M40" t="n">
        <v>961244</v>
      </c>
      <c r="N40" t="n">
        <v>11267460</v>
      </c>
      <c r="O40" t="n">
        <v>176142</v>
      </c>
      <c r="P40" t="n">
        <v>85703</v>
      </c>
      <c r="Q40" t="n">
        <v>1039520</v>
      </c>
      <c r="R40" t="n">
        <v>1593</v>
      </c>
      <c r="S40" t="n">
        <v>3662</v>
      </c>
      <c r="T40" t="n">
        <v>290560</v>
      </c>
      <c r="U40" t="n">
        <v>1</v>
      </c>
      <c r="V40" t="n">
        <v>1988854</v>
      </c>
      <c r="W40" t="n">
        <v>18364055</v>
      </c>
      <c r="X40" t="n">
        <v>1097439</v>
      </c>
      <c r="Y40">
        <f>IF(ISNUMBER($W40),$W40,0)</f>
        <v/>
      </c>
      <c r="Z40">
        <f>IF(ISNUMBER(SEARCH("Adjustment",$C40)),"excluded",IF($H40="Behind the Meter","excluded",IF(NOT(OR($E40="Bundled",$E40="Energy")),"excluded",IF(OR($H40="Retail Power Marketer",$H40="Community Choice Aggregator",$E40="Energy"),"procurement",IF(OR($H40="Municipal",$H40="Cooperative",$H40="Federal",$H40="State",$H40="Political Subdivision"),"cost_service",IF($H40="Investor Owned",IF(AND(COUNTIF(Parameters!$A$4:$A$33,$G40)&gt;0,COUNTIF(Parameters!$B$4:$B$33,$B40)=0),"procurement","cost_service"),"unclassified"))))))</f>
        <v/>
      </c>
    </row>
    <row r="41">
      <c r="A41" t="n">
        <v>2024</v>
      </c>
      <c r="B41" t="n">
        <v>55874</v>
      </c>
      <c r="C41" t="inlineStr">
        <is>
          <t>Energy Services Providers, Inc</t>
        </is>
      </c>
      <c r="D41" t="inlineStr">
        <is>
          <t>B</t>
        </is>
      </c>
      <c r="E41" t="inlineStr">
        <is>
          <t>Energy</t>
        </is>
      </c>
      <c r="F41" t="inlineStr">
        <is>
          <t>O</t>
        </is>
      </c>
      <c r="G41" t="inlineStr">
        <is>
          <t>MA</t>
        </is>
      </c>
      <c r="H41" t="inlineStr">
        <is>
          <t>Retail Power Marketer</t>
        </is>
      </c>
      <c r="I41" t="inlineStr">
        <is>
          <t>ISNE</t>
        </is>
      </c>
      <c r="J41" t="n">
        <v>5090.9</v>
      </c>
      <c r="K41" t="n">
        <v>24744</v>
      </c>
      <c r="L41" t="n">
        <v>4129</v>
      </c>
      <c r="M41" t="n">
        <v>4249.6</v>
      </c>
      <c r="N41" t="n">
        <v>18640</v>
      </c>
      <c r="O41" t="n">
        <v>1412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9340.5</v>
      </c>
      <c r="W41" t="n">
        <v>43384</v>
      </c>
      <c r="X41" t="n">
        <v>5541</v>
      </c>
      <c r="Y41">
        <f>IF(ISNUMBER($W41),$W41,0)</f>
        <v/>
      </c>
      <c r="Z41">
        <f>IF(ISNUMBER(SEARCH("Adjustment",$C41)),"excluded",IF($H41="Behind the Meter","excluded",IF(NOT(OR($E41="Bundled",$E41="Energy")),"excluded",IF(OR($H41="Retail Power Marketer",$H41="Community Choice Aggregator",$E41="Energy"),"procurement",IF(OR($H41="Municipal",$H41="Cooperative",$H41="Federal",$H41="State",$H41="Political Subdivision"),"cost_service",IF($H41="Investor Owned",IF(AND(COUNTIF(Parameters!$A$4:$A$33,$G41)&gt;0,COUNTIF(Parameters!$B$4:$B$33,$B41)=0),"procurement","cost_service"),"unclassified"))))))</f>
        <v/>
      </c>
    </row>
    <row r="42">
      <c r="A42" t="n">
        <v>2024</v>
      </c>
      <c r="B42" t="n">
        <v>55878</v>
      </c>
      <c r="C42" t="inlineStr">
        <is>
          <t>Hudson Energy Services</t>
        </is>
      </c>
      <c r="D42" t="inlineStr">
        <is>
          <t>B</t>
        </is>
      </c>
      <c r="E42" t="inlineStr">
        <is>
          <t>Energy</t>
        </is>
      </c>
      <c r="F42" t="inlineStr">
        <is>
          <t>O</t>
        </is>
      </c>
      <c r="G42" t="inlineStr">
        <is>
          <t>MA</t>
        </is>
      </c>
      <c r="H42" t="inlineStr">
        <is>
          <t>Retail Power Marketer</t>
        </is>
      </c>
      <c r="I42" t="inlineStr">
        <is>
          <t>ISNE</t>
        </is>
      </c>
      <c r="J42" t="n">
        <v>0</v>
      </c>
      <c r="K42" t="n">
        <v>0</v>
      </c>
      <c r="L42" t="n">
        <v>0</v>
      </c>
      <c r="M42" t="n">
        <v>83673.60000000001</v>
      </c>
      <c r="N42" t="n">
        <v>630883</v>
      </c>
      <c r="O42" t="n">
        <v>8076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83673.60000000001</v>
      </c>
      <c r="W42" t="n">
        <v>630883</v>
      </c>
      <c r="X42" t="n">
        <v>8076</v>
      </c>
      <c r="Y42">
        <f>IF(ISNUMBER($W42),$W42,0)</f>
        <v/>
      </c>
      <c r="Z42">
        <f>IF(ISNUMBER(SEARCH("Adjustment",$C42)),"excluded",IF($H42="Behind the Meter","excluded",IF(NOT(OR($E42="Bundled",$E42="Energy")),"excluded",IF(OR($H42="Retail Power Marketer",$H42="Community Choice Aggregator",$E42="Energy"),"procurement",IF(OR($H42="Municipal",$H42="Cooperative",$H42="Federal",$H42="State",$H42="Political Subdivision"),"cost_service",IF($H42="Investor Owned",IF(AND(COUNTIF(Parameters!$A$4:$A$33,$G42)&gt;0,COUNTIF(Parameters!$B$4:$B$33,$B42)=0),"procurement","cost_service"),"unclassified"))))))</f>
        <v/>
      </c>
    </row>
    <row r="43">
      <c r="A43" t="n">
        <v>2024</v>
      </c>
      <c r="B43" t="n">
        <v>56212</v>
      </c>
      <c r="C43" t="inlineStr">
        <is>
          <t>Ambit Energy Holdings, LLC</t>
        </is>
      </c>
      <c r="D43" t="inlineStr">
        <is>
          <t>B</t>
        </is>
      </c>
      <c r="E43" t="inlineStr">
        <is>
          <t>Energy</t>
        </is>
      </c>
      <c r="F43" t="inlineStr">
        <is>
          <t>O</t>
        </is>
      </c>
      <c r="G43" t="inlineStr">
        <is>
          <t>MA</t>
        </is>
      </c>
      <c r="H43" t="inlineStr">
        <is>
          <t>Retail Power Marketer</t>
        </is>
      </c>
      <c r="I43" t="inlineStr">
        <is>
          <t>ISNE</t>
        </is>
      </c>
      <c r="J43" t="n">
        <v>8236</v>
      </c>
      <c r="K43" t="n">
        <v>41276</v>
      </c>
      <c r="L43" t="n">
        <v>6282</v>
      </c>
      <c r="M43" t="n">
        <v>4333.6</v>
      </c>
      <c r="N43" t="n">
        <v>22380</v>
      </c>
      <c r="O43" t="n">
        <v>1143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12569.6</v>
      </c>
      <c r="W43" t="n">
        <v>63656</v>
      </c>
      <c r="X43" t="n">
        <v>7425</v>
      </c>
      <c r="Y43">
        <f>IF(ISNUMBER($W43),$W43,0)</f>
        <v/>
      </c>
      <c r="Z43">
        <f>IF(ISNUMBER(SEARCH("Adjustment",$C43)),"excluded",IF($H43="Behind the Meter","excluded",IF(NOT(OR($E43="Bundled",$E43="Energy")),"excluded",IF(OR($H43="Retail Power Marketer",$H43="Community Choice Aggregator",$E43="Energy"),"procurement",IF(OR($H43="Municipal",$H43="Cooperative",$H43="Federal",$H43="State",$H43="Political Subdivision"),"cost_service",IF($H43="Investor Owned",IF(AND(COUNTIF(Parameters!$A$4:$A$33,$G43)&gt;0,COUNTIF(Parameters!$B$4:$B$33,$B43)=0),"procurement","cost_service"),"unclassified"))))))</f>
        <v/>
      </c>
    </row>
    <row r="44">
      <c r="A44" t="n">
        <v>2024</v>
      </c>
      <c r="B44" t="n">
        <v>56265</v>
      </c>
      <c r="C44" t="inlineStr">
        <is>
          <t>Energy Plus Holdings LLC</t>
        </is>
      </c>
      <c r="D44" t="inlineStr">
        <is>
          <t>B</t>
        </is>
      </c>
      <c r="E44" t="inlineStr">
        <is>
          <t>Energy</t>
        </is>
      </c>
      <c r="F44" t="inlineStr">
        <is>
          <t>O</t>
        </is>
      </c>
      <c r="G44" t="inlineStr">
        <is>
          <t>MA</t>
        </is>
      </c>
      <c r="H44" t="inlineStr">
        <is>
          <t>Retail Power Marketer</t>
        </is>
      </c>
      <c r="I44" t="inlineStr">
        <is>
          <t>ISNE</t>
        </is>
      </c>
      <c r="J44" t="n">
        <v>1531.3</v>
      </c>
      <c r="K44" t="n">
        <v>7430</v>
      </c>
      <c r="L44" t="n">
        <v>1222</v>
      </c>
      <c r="M44" t="n">
        <v>130.9</v>
      </c>
      <c r="N44" t="n">
        <v>635</v>
      </c>
      <c r="O44" t="n">
        <v>47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1662.2</v>
      </c>
      <c r="W44" t="n">
        <v>8065</v>
      </c>
      <c r="X44" t="n">
        <v>1269</v>
      </c>
      <c r="Y44">
        <f>IF(ISNUMBER($W44),$W44,0)</f>
        <v/>
      </c>
      <c r="Z44">
        <f>IF(ISNUMBER(SEARCH("Adjustment",$C44)),"excluded",IF($H44="Behind the Meter","excluded",IF(NOT(OR($E44="Bundled",$E44="Energy")),"excluded",IF(OR($H44="Retail Power Marketer",$H44="Community Choice Aggregator",$E44="Energy"),"procurement",IF(OR($H44="Municipal",$H44="Cooperative",$H44="Federal",$H44="State",$H44="Political Subdivision"),"cost_service",IF($H44="Investor Owned",IF(AND(COUNTIF(Parameters!$A$4:$A$33,$G44)&gt;0,COUNTIF(Parameters!$B$4:$B$33,$B44)=0),"procurement","cost_service"),"unclassified"))))))</f>
        <v/>
      </c>
    </row>
    <row r="45">
      <c r="A45" t="n">
        <v>2024</v>
      </c>
      <c r="B45" t="n">
        <v>56504</v>
      </c>
      <c r="C45" t="inlineStr">
        <is>
          <t>Major Energy Electric Services</t>
        </is>
      </c>
      <c r="D45" t="inlineStr">
        <is>
          <t>B</t>
        </is>
      </c>
      <c r="E45" t="inlineStr">
        <is>
          <t>Energy</t>
        </is>
      </c>
      <c r="F45" t="inlineStr">
        <is>
          <t>O</t>
        </is>
      </c>
      <c r="G45" t="inlineStr">
        <is>
          <t>MA</t>
        </is>
      </c>
      <c r="H45" t="inlineStr">
        <is>
          <t>Retail Power Marketer</t>
        </is>
      </c>
      <c r="I45" t="inlineStr">
        <is>
          <t>ISNE</t>
        </is>
      </c>
      <c r="J45" t="n">
        <v>7886</v>
      </c>
      <c r="K45" t="n">
        <v>42522</v>
      </c>
      <c r="L45" t="n">
        <v>6382</v>
      </c>
      <c r="M45" t="n">
        <v>5659</v>
      </c>
      <c r="N45" t="n">
        <v>40111</v>
      </c>
      <c r="O45" t="n">
        <v>607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13545</v>
      </c>
      <c r="W45" t="n">
        <v>82633</v>
      </c>
      <c r="X45" t="n">
        <v>6989</v>
      </c>
      <c r="Y45">
        <f>IF(ISNUMBER($W45),$W45,0)</f>
        <v/>
      </c>
      <c r="Z45">
        <f>IF(ISNUMBER(SEARCH("Adjustment",$C45)),"excluded",IF($H45="Behind the Meter","excluded",IF(NOT(OR($E45="Bundled",$E45="Energy")),"excluded",IF(OR($H45="Retail Power Marketer",$H45="Community Choice Aggregator",$E45="Energy"),"procurement",IF(OR($H45="Municipal",$H45="Cooperative",$H45="Federal",$H45="State",$H45="Political Subdivision"),"cost_service",IF($H45="Investor Owned",IF(AND(COUNTIF(Parameters!$A$4:$A$33,$G45)&gt;0,COUNTIF(Parameters!$B$4:$B$33,$B45)=0),"procurement","cost_service"),"unclassified"))))))</f>
        <v/>
      </c>
    </row>
    <row r="46">
      <c r="A46" t="n">
        <v>2024</v>
      </c>
      <c r="B46" t="n">
        <v>56521</v>
      </c>
      <c r="C46" t="inlineStr">
        <is>
          <t>Devonshire Energy, LLC</t>
        </is>
      </c>
      <c r="D46" t="inlineStr">
        <is>
          <t>B</t>
        </is>
      </c>
      <c r="E46" t="inlineStr">
        <is>
          <t>Energy</t>
        </is>
      </c>
      <c r="F46" t="inlineStr">
        <is>
          <t>O</t>
        </is>
      </c>
      <c r="G46" t="inlineStr">
        <is>
          <t>MA</t>
        </is>
      </c>
      <c r="H46" t="inlineStr">
        <is>
          <t>Retail Power Marketer</t>
        </is>
      </c>
      <c r="I46" t="inlineStr">
        <is>
          <t>ISNE</t>
        </is>
      </c>
      <c r="J46" t="n">
        <v>0</v>
      </c>
      <c r="K46" t="n">
        <v>0</v>
      </c>
      <c r="L46" t="n">
        <v>0</v>
      </c>
      <c r="M46" t="n">
        <v>3325.6</v>
      </c>
      <c r="N46" t="n">
        <v>58476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3325.6</v>
      </c>
      <c r="W46" t="n">
        <v>58476</v>
      </c>
      <c r="X46" t="n">
        <v>1</v>
      </c>
      <c r="Y46">
        <f>IF(ISNUMBER($W46),$W46,0)</f>
        <v/>
      </c>
      <c r="Z46">
        <f>IF(ISNUMBER(SEARCH("Adjustment",$C46)),"excluded",IF($H46="Behind the Meter","excluded",IF(NOT(OR($E46="Bundled",$E46="Energy")),"excluded",IF(OR($H46="Retail Power Marketer",$H46="Community Choice Aggregator",$E46="Energy"),"procurement",IF(OR($H46="Municipal",$H46="Cooperative",$H46="Federal",$H46="State",$H46="Political Subdivision"),"cost_service",IF($H46="Investor Owned",IF(AND(COUNTIF(Parameters!$A$4:$A$33,$G46)&gt;0,COUNTIF(Parameters!$B$4:$B$33,$B46)=0),"procurement","cost_service"),"unclassified"))))))</f>
        <v/>
      </c>
    </row>
    <row r="47">
      <c r="A47" t="n">
        <v>2024</v>
      </c>
      <c r="B47" t="n">
        <v>57037</v>
      </c>
      <c r="C47" t="inlineStr">
        <is>
          <t>Reliant Energy Northeast LLC</t>
        </is>
      </c>
      <c r="D47" t="inlineStr">
        <is>
          <t>B</t>
        </is>
      </c>
      <c r="E47" t="inlineStr">
        <is>
          <t>Energy</t>
        </is>
      </c>
      <c r="F47" t="inlineStr">
        <is>
          <t>O</t>
        </is>
      </c>
      <c r="G47" t="inlineStr">
        <is>
          <t>MA</t>
        </is>
      </c>
      <c r="H47" t="inlineStr">
        <is>
          <t>Retail Power Marketer</t>
        </is>
      </c>
      <c r="I47" t="inlineStr">
        <is>
          <t>ISNE</t>
        </is>
      </c>
      <c r="J47" t="n">
        <v>65016</v>
      </c>
      <c r="K47" t="n">
        <v>353881</v>
      </c>
      <c r="L47" t="n">
        <v>53585</v>
      </c>
      <c r="M47" t="n">
        <v>2789</v>
      </c>
      <c r="N47" t="n">
        <v>13616</v>
      </c>
      <c r="O47" t="n">
        <v>783</v>
      </c>
      <c r="P47" t="n">
        <v>1473.4</v>
      </c>
      <c r="Q47" t="n">
        <v>16223</v>
      </c>
      <c r="R47" t="n">
        <v>3</v>
      </c>
      <c r="S47" t="n">
        <v>0</v>
      </c>
      <c r="T47" t="n">
        <v>0</v>
      </c>
      <c r="U47" t="n">
        <v>0</v>
      </c>
      <c r="V47" t="n">
        <v>69278.39999999999</v>
      </c>
      <c r="W47" t="n">
        <v>383720</v>
      </c>
      <c r="X47" t="n">
        <v>54371</v>
      </c>
      <c r="Y47">
        <f>IF(ISNUMBER($W47),$W47,0)</f>
        <v/>
      </c>
      <c r="Z47">
        <f>IF(ISNUMBER(SEARCH("Adjustment",$C47)),"excluded",IF($H47="Behind the Meter","excluded",IF(NOT(OR($E47="Bundled",$E47="Energy")),"excluded",IF(OR($H47="Retail Power Marketer",$H47="Community Choice Aggregator",$E47="Energy"),"procurement",IF(OR($H47="Municipal",$H47="Cooperative",$H47="Federal",$H47="State",$H47="Political Subdivision"),"cost_service",IF($H47="Investor Owned",IF(AND(COUNTIF(Parameters!$A$4:$A$33,$G47)&gt;0,COUNTIF(Parameters!$B$4:$B$33,$B47)=0),"procurement","cost_service"),"unclassified"))))))</f>
        <v/>
      </c>
    </row>
    <row r="48">
      <c r="A48" t="n">
        <v>2024</v>
      </c>
      <c r="B48" t="n">
        <v>57313</v>
      </c>
      <c r="C48" t="inlineStr">
        <is>
          <t>Tesla Inc.</t>
        </is>
      </c>
      <c r="D48" t="inlineStr">
        <is>
          <t>A</t>
        </is>
      </c>
      <c r="E48" t="inlineStr">
        <is>
          <t>Bundled</t>
        </is>
      </c>
      <c r="F48" t="inlineStr">
        <is>
          <t>O</t>
        </is>
      </c>
      <c r="G48" t="inlineStr">
        <is>
          <t>MA</t>
        </is>
      </c>
      <c r="H48" t="inlineStr">
        <is>
          <t>Behind the Meter</t>
        </is>
      </c>
      <c r="I48" t="inlineStr">
        <is>
          <t>ISNE</t>
        </is>
      </c>
      <c r="J48" t="n">
        <v>17513</v>
      </c>
      <c r="K48" t="n">
        <v>108750</v>
      </c>
      <c r="L48" t="n">
        <v>19248</v>
      </c>
      <c r="M48" t="n">
        <v>497</v>
      </c>
      <c r="N48" t="n">
        <v>4249</v>
      </c>
      <c r="O48" t="n">
        <v>25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18010</v>
      </c>
      <c r="W48" t="n">
        <v>112999</v>
      </c>
      <c r="X48" t="n">
        <v>19273</v>
      </c>
      <c r="Y48">
        <f>IF(ISNUMBER($W48),$W48,0)</f>
        <v/>
      </c>
      <c r="Z48">
        <f>IF(ISNUMBER(SEARCH("Adjustment",$C48)),"excluded",IF($H48="Behind the Meter","excluded",IF(NOT(OR($E48="Bundled",$E48="Energy")),"excluded",IF(OR($H48="Retail Power Marketer",$H48="Community Choice Aggregator",$E48="Energy"),"procurement",IF(OR($H48="Municipal",$H48="Cooperative",$H48="Federal",$H48="State",$H48="Political Subdivision"),"cost_service",IF($H48="Investor Owned",IF(AND(COUNTIF(Parameters!$A$4:$A$33,$G48)&gt;0,COUNTIF(Parameters!$B$4:$B$33,$B48)=0),"procurement","cost_service"),"unclassified"))))))</f>
        <v/>
      </c>
    </row>
    <row r="49">
      <c r="A49" t="n">
        <v>2024</v>
      </c>
      <c r="B49" t="n">
        <v>57489</v>
      </c>
      <c r="C49" t="inlineStr">
        <is>
          <t>XOOM Energy Massachusetts, LLC</t>
        </is>
      </c>
      <c r="D49" t="inlineStr">
        <is>
          <t>B</t>
        </is>
      </c>
      <c r="E49" t="inlineStr">
        <is>
          <t>Energy</t>
        </is>
      </c>
      <c r="F49" t="inlineStr">
        <is>
          <t>O</t>
        </is>
      </c>
      <c r="G49" t="inlineStr">
        <is>
          <t>MA</t>
        </is>
      </c>
      <c r="H49" t="inlineStr">
        <is>
          <t>Retail Power Marketer</t>
        </is>
      </c>
      <c r="I49" t="inlineStr">
        <is>
          <t>ISNE</t>
        </is>
      </c>
      <c r="J49" t="n">
        <v>5216</v>
      </c>
      <c r="K49" t="n">
        <v>31087</v>
      </c>
      <c r="L49" t="n">
        <v>4805</v>
      </c>
      <c r="M49" t="n">
        <v>1781</v>
      </c>
      <c r="N49" t="n">
        <v>11089</v>
      </c>
      <c r="O49" t="n">
        <v>801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6997</v>
      </c>
      <c r="W49" t="n">
        <v>42176</v>
      </c>
      <c r="X49" t="n">
        <v>5606</v>
      </c>
      <c r="Y49">
        <f>IF(ISNUMBER($W49),$W49,0)</f>
        <v/>
      </c>
      <c r="Z49">
        <f>IF(ISNUMBER(SEARCH("Adjustment",$C49)),"excluded",IF($H49="Behind the Meter","excluded",IF(NOT(OR($E49="Bundled",$E49="Energy")),"excluded",IF(OR($H49="Retail Power Marketer",$H49="Community Choice Aggregator",$E49="Energy"),"procurement",IF(OR($H49="Municipal",$H49="Cooperative",$H49="Federal",$H49="State",$H49="Political Subdivision"),"cost_service",IF($H49="Investor Owned",IF(AND(COUNTIF(Parameters!$A$4:$A$33,$G49)&gt;0,COUNTIF(Parameters!$B$4:$B$33,$B49)=0),"procurement","cost_service"),"unclassified"))))))</f>
        <v/>
      </c>
    </row>
    <row r="50">
      <c r="A50" t="n">
        <v>2024</v>
      </c>
      <c r="B50" t="n">
        <v>58119</v>
      </c>
      <c r="C50" t="inlineStr">
        <is>
          <t>Public Power LLC (CT)</t>
        </is>
      </c>
      <c r="D50" t="inlineStr">
        <is>
          <t>B</t>
        </is>
      </c>
      <c r="E50" t="inlineStr">
        <is>
          <t>Energy</t>
        </is>
      </c>
      <c r="F50" t="inlineStr">
        <is>
          <t>O</t>
        </is>
      </c>
      <c r="G50" t="inlineStr">
        <is>
          <t>MA</t>
        </is>
      </c>
      <c r="H50" t="inlineStr">
        <is>
          <t>Retail Power Marketer</t>
        </is>
      </c>
      <c r="I50" t="inlineStr">
        <is>
          <t>ISNE</t>
        </is>
      </c>
      <c r="J50" t="n">
        <v>2311.1</v>
      </c>
      <c r="K50" t="n">
        <v>15992</v>
      </c>
      <c r="L50" t="n">
        <v>1985</v>
      </c>
      <c r="M50" t="n">
        <v>3624.3</v>
      </c>
      <c r="N50" t="n">
        <v>24672</v>
      </c>
      <c r="O50" t="n">
        <v>577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5935.4</v>
      </c>
      <c r="W50" t="n">
        <v>40664</v>
      </c>
      <c r="X50" t="n">
        <v>2562</v>
      </c>
      <c r="Y50">
        <f>IF(ISNUMBER($W50),$W50,0)</f>
        <v/>
      </c>
      <c r="Z50">
        <f>IF(ISNUMBER(SEARCH("Adjustment",$C50)),"excluded",IF($H50="Behind the Meter","excluded",IF(NOT(OR($E50="Bundled",$E50="Energy")),"excluded",IF(OR($H50="Retail Power Marketer",$H50="Community Choice Aggregator",$E50="Energy"),"procurement",IF(OR($H50="Municipal",$H50="Cooperative",$H50="Federal",$H50="State",$H50="Political Subdivision"),"cost_service",IF($H50="Investor Owned",IF(AND(COUNTIF(Parameters!$A$4:$A$33,$G50)&gt;0,COUNTIF(Parameters!$B$4:$B$33,$B50)=0),"procurement","cost_service"),"unclassified"))))))</f>
        <v/>
      </c>
    </row>
    <row r="51">
      <c r="A51" t="n">
        <v>2024</v>
      </c>
      <c r="B51" t="n">
        <v>58161</v>
      </c>
      <c r="C51" t="inlineStr">
        <is>
          <t>Viridian Energy LLC</t>
        </is>
      </c>
      <c r="D51" t="inlineStr">
        <is>
          <t>B</t>
        </is>
      </c>
      <c r="E51" t="inlineStr">
        <is>
          <t>Energy</t>
        </is>
      </c>
      <c r="F51" t="inlineStr">
        <is>
          <t>O</t>
        </is>
      </c>
      <c r="G51" t="inlineStr">
        <is>
          <t>MA</t>
        </is>
      </c>
      <c r="H51" t="inlineStr">
        <is>
          <t>Retail Power Marketer</t>
        </is>
      </c>
      <c r="I51" t="inlineStr">
        <is>
          <t>ISNE</t>
        </is>
      </c>
      <c r="J51" t="n">
        <v>10577.5</v>
      </c>
      <c r="K51" t="n">
        <v>49179</v>
      </c>
      <c r="L51" t="n">
        <v>7589</v>
      </c>
      <c r="M51" t="n">
        <v>3255.8</v>
      </c>
      <c r="N51" t="n">
        <v>15400</v>
      </c>
      <c r="O51" t="n">
        <v>1057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13833.3</v>
      </c>
      <c r="W51" t="n">
        <v>64579</v>
      </c>
      <c r="X51" t="n">
        <v>8646</v>
      </c>
      <c r="Y51">
        <f>IF(ISNUMBER($W51),$W51,0)</f>
        <v/>
      </c>
      <c r="Z51">
        <f>IF(ISNUMBER(SEARCH("Adjustment",$C51)),"excluded",IF($H51="Behind the Meter","excluded",IF(NOT(OR($E51="Bundled",$E51="Energy")),"excluded",IF(OR($H51="Retail Power Marketer",$H51="Community Choice Aggregator",$E51="Energy"),"procurement",IF(OR($H51="Municipal",$H51="Cooperative",$H51="Federal",$H51="State",$H51="Political Subdivision"),"cost_service",IF($H51="Investor Owned",IF(AND(COUNTIF(Parameters!$A$4:$A$33,$G51)&gt;0,COUNTIF(Parameters!$B$4:$B$33,$B51)=0),"procurement","cost_service"),"unclassified"))))))</f>
        <v/>
      </c>
    </row>
    <row r="52">
      <c r="A52" t="n">
        <v>2024</v>
      </c>
      <c r="B52" t="n">
        <v>58747</v>
      </c>
      <c r="C52" t="inlineStr">
        <is>
          <t>Provider Power MASS, LLC</t>
        </is>
      </c>
      <c r="D52" t="inlineStr">
        <is>
          <t>B</t>
        </is>
      </c>
      <c r="E52" t="inlineStr">
        <is>
          <t>Energy</t>
        </is>
      </c>
      <c r="F52" t="inlineStr">
        <is>
          <t>O</t>
        </is>
      </c>
      <c r="G52" t="inlineStr">
        <is>
          <t>MA</t>
        </is>
      </c>
      <c r="H52" t="inlineStr">
        <is>
          <t>Retail Power Marketer</t>
        </is>
      </c>
      <c r="I52" t="inlineStr">
        <is>
          <t>ISNE</t>
        </is>
      </c>
      <c r="J52" t="n">
        <v>13811</v>
      </c>
      <c r="K52" t="n">
        <v>60311</v>
      </c>
      <c r="L52" t="n">
        <v>7469</v>
      </c>
      <c r="M52" t="n">
        <v>1625</v>
      </c>
      <c r="N52" t="n">
        <v>9241</v>
      </c>
      <c r="O52" t="n">
        <v>381</v>
      </c>
      <c r="P52" t="inlineStr">
        <is>
          <t>.</t>
        </is>
      </c>
      <c r="Q52" t="inlineStr">
        <is>
          <t>.</t>
        </is>
      </c>
      <c r="R52" t="inlineStr">
        <is>
          <t>.</t>
        </is>
      </c>
      <c r="S52" t="inlineStr">
        <is>
          <t>.</t>
        </is>
      </c>
      <c r="T52" t="inlineStr">
        <is>
          <t>.</t>
        </is>
      </c>
      <c r="U52" t="inlineStr">
        <is>
          <t>.</t>
        </is>
      </c>
      <c r="V52" t="n">
        <v>15436</v>
      </c>
      <c r="W52" t="n">
        <v>69552</v>
      </c>
      <c r="X52" t="n">
        <v>7850</v>
      </c>
      <c r="Y52">
        <f>IF(ISNUMBER($W52),$W52,0)</f>
        <v/>
      </c>
      <c r="Z52">
        <f>IF(ISNUMBER(SEARCH("Adjustment",$C52)),"excluded",IF($H52="Behind the Meter","excluded",IF(NOT(OR($E52="Bundled",$E52="Energy")),"excluded",IF(OR($H52="Retail Power Marketer",$H52="Community Choice Aggregator",$E52="Energy"),"procurement",IF(OR($H52="Municipal",$H52="Cooperative",$H52="Federal",$H52="State",$H52="Political Subdivision"),"cost_service",IF($H52="Investor Owned",IF(AND(COUNTIF(Parameters!$A$4:$A$33,$G52)&gt;0,COUNTIF(Parameters!$B$4:$B$33,$B52)=0),"procurement","cost_service"),"unclassified"))))))</f>
        <v/>
      </c>
    </row>
    <row r="53">
      <c r="A53" t="n">
        <v>2024</v>
      </c>
      <c r="B53" t="n">
        <v>58951</v>
      </c>
      <c r="C53" t="inlineStr">
        <is>
          <t>CleanChoice Energy, Inc.</t>
        </is>
      </c>
      <c r="D53" t="inlineStr">
        <is>
          <t>B</t>
        </is>
      </c>
      <c r="E53" t="inlineStr">
        <is>
          <t>Energy</t>
        </is>
      </c>
      <c r="F53" t="inlineStr">
        <is>
          <t>O</t>
        </is>
      </c>
      <c r="G53" t="inlineStr">
        <is>
          <t>MA</t>
        </is>
      </c>
      <c r="H53" t="inlineStr">
        <is>
          <t>Retail Power Marketer</t>
        </is>
      </c>
      <c r="I53" t="inlineStr">
        <is>
          <t>ISNE</t>
        </is>
      </c>
      <c r="J53" t="n">
        <v>42009.3</v>
      </c>
      <c r="K53" t="n">
        <v>198226</v>
      </c>
      <c r="L53" t="n">
        <v>36276</v>
      </c>
      <c r="M53" t="n">
        <v>908.1</v>
      </c>
      <c r="N53" t="n">
        <v>4340</v>
      </c>
      <c r="O53" t="n">
        <v>746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42917.4</v>
      </c>
      <c r="W53" t="n">
        <v>202566</v>
      </c>
      <c r="X53" t="n">
        <v>37022</v>
      </c>
      <c r="Y53">
        <f>IF(ISNUMBER($W53),$W53,0)</f>
        <v/>
      </c>
      <c r="Z53">
        <f>IF(ISNUMBER(SEARCH("Adjustment",$C53)),"excluded",IF($H53="Behind the Meter","excluded",IF(NOT(OR($E53="Bundled",$E53="Energy")),"excluded",IF(OR($H53="Retail Power Marketer",$H53="Community Choice Aggregator",$E53="Energy"),"procurement",IF(OR($H53="Municipal",$H53="Cooperative",$H53="Federal",$H53="State",$H53="Political Subdivision"),"cost_service",IF($H53="Investor Owned",IF(AND(COUNTIF(Parameters!$A$4:$A$33,$G53)&gt;0,COUNTIF(Parameters!$B$4:$B$33,$B53)=0),"procurement","cost_service"),"unclassified"))))))</f>
        <v/>
      </c>
    </row>
    <row r="54">
      <c r="A54" t="n">
        <v>2024</v>
      </c>
      <c r="B54" t="n">
        <v>58956</v>
      </c>
      <c r="C54" t="inlineStr">
        <is>
          <t>SmartEnergy Holdings, LLC</t>
        </is>
      </c>
      <c r="D54" t="inlineStr">
        <is>
          <t>B</t>
        </is>
      </c>
      <c r="E54" t="inlineStr">
        <is>
          <t>Energy</t>
        </is>
      </c>
      <c r="F54" t="inlineStr">
        <is>
          <t>O</t>
        </is>
      </c>
      <c r="G54" t="inlineStr">
        <is>
          <t>MA</t>
        </is>
      </c>
      <c r="H54" t="inlineStr">
        <is>
          <t>Retail Power Marketer</t>
        </is>
      </c>
      <c r="I54" t="inlineStr">
        <is>
          <t>ISNE</t>
        </is>
      </c>
      <c r="J54" t="n">
        <v>19559</v>
      </c>
      <c r="K54" t="n">
        <v>111259</v>
      </c>
      <c r="L54" t="n">
        <v>18349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19559</v>
      </c>
      <c r="W54" t="n">
        <v>111259</v>
      </c>
      <c r="X54" t="n">
        <v>18349</v>
      </c>
      <c r="Y54">
        <f>IF(ISNUMBER($W54),$W54,0)</f>
        <v/>
      </c>
      <c r="Z54">
        <f>IF(ISNUMBER(SEARCH("Adjustment",$C54)),"excluded",IF($H54="Behind the Meter","excluded",IF(NOT(OR($E54="Bundled",$E54="Energy")),"excluded",IF(OR($H54="Retail Power Marketer",$H54="Community Choice Aggregator",$E54="Energy"),"procurement",IF(OR($H54="Municipal",$H54="Cooperative",$H54="Federal",$H54="State",$H54="Political Subdivision"),"cost_service",IF($H54="Investor Owned",IF(AND(COUNTIF(Parameters!$A$4:$A$33,$G54)&gt;0,COUNTIF(Parameters!$B$4:$B$33,$B54)=0),"procurement","cost_service"),"unclassified"))))))</f>
        <v/>
      </c>
    </row>
    <row r="55">
      <c r="A55" t="n">
        <v>2024</v>
      </c>
      <c r="B55" t="n">
        <v>58964</v>
      </c>
      <c r="C55" t="inlineStr">
        <is>
          <t>Alpha Gas and Electric, LLC</t>
        </is>
      </c>
      <c r="D55" t="inlineStr">
        <is>
          <t>B</t>
        </is>
      </c>
      <c r="E55" t="inlineStr">
        <is>
          <t>Energy</t>
        </is>
      </c>
      <c r="F55" t="inlineStr">
        <is>
          <t>O</t>
        </is>
      </c>
      <c r="G55" t="inlineStr">
        <is>
          <t>MA</t>
        </is>
      </c>
      <c r="H55" t="inlineStr">
        <is>
          <t>Retail Power Marketer</t>
        </is>
      </c>
      <c r="I55" t="inlineStr">
        <is>
          <t>ISNE</t>
        </is>
      </c>
      <c r="J55" t="n">
        <v>2364.4</v>
      </c>
      <c r="K55" t="n">
        <v>12004</v>
      </c>
      <c r="L55" t="n">
        <v>2122</v>
      </c>
      <c r="M55" t="n">
        <v>133.3</v>
      </c>
      <c r="N55" t="n">
        <v>832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2497.7</v>
      </c>
      <c r="W55" t="n">
        <v>12836</v>
      </c>
      <c r="X55" t="n">
        <v>2123</v>
      </c>
      <c r="Y55">
        <f>IF(ISNUMBER($W55),$W55,0)</f>
        <v/>
      </c>
      <c r="Z55">
        <f>IF(ISNUMBER(SEARCH("Adjustment",$C55)),"excluded",IF($H55="Behind the Meter","excluded",IF(NOT(OR($E55="Bundled",$E55="Energy")),"excluded",IF(OR($H55="Retail Power Marketer",$H55="Community Choice Aggregator",$E55="Energy"),"procurement",IF(OR($H55="Municipal",$H55="Cooperative",$H55="Federal",$H55="State",$H55="Political Subdivision"),"cost_service",IF($H55="Investor Owned",IF(AND(COUNTIF(Parameters!$A$4:$A$33,$G55)&gt;0,COUNTIF(Parameters!$B$4:$B$33,$B55)=0),"procurement","cost_service"),"unclassified"))))))</f>
        <v/>
      </c>
    </row>
    <row r="56">
      <c r="A56" t="n">
        <v>2024</v>
      </c>
      <c r="B56" t="n">
        <v>58974</v>
      </c>
      <c r="C56" t="inlineStr">
        <is>
          <t>Clearview Electric Inc.</t>
        </is>
      </c>
      <c r="D56" t="inlineStr">
        <is>
          <t>B</t>
        </is>
      </c>
      <c r="E56" t="inlineStr">
        <is>
          <t>Energy</t>
        </is>
      </c>
      <c r="F56" t="inlineStr">
        <is>
          <t>O</t>
        </is>
      </c>
      <c r="G56" t="inlineStr">
        <is>
          <t>MA</t>
        </is>
      </c>
      <c r="H56" t="inlineStr">
        <is>
          <t>Retail Power Marketer</t>
        </is>
      </c>
      <c r="I56" t="inlineStr">
        <is>
          <t>ISNE</t>
        </is>
      </c>
      <c r="J56" t="n">
        <v>31951.9</v>
      </c>
      <c r="K56" t="n">
        <v>207121</v>
      </c>
      <c r="L56" t="n">
        <v>23822</v>
      </c>
      <c r="M56" t="n">
        <v>1944.6</v>
      </c>
      <c r="N56" t="n">
        <v>14997</v>
      </c>
      <c r="O56" t="n">
        <v>525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33896.5</v>
      </c>
      <c r="W56" t="n">
        <v>222118</v>
      </c>
      <c r="X56" t="n">
        <v>24347</v>
      </c>
      <c r="Y56">
        <f>IF(ISNUMBER($W56),$W56,0)</f>
        <v/>
      </c>
      <c r="Z56">
        <f>IF(ISNUMBER(SEARCH("Adjustment",$C56)),"excluded",IF($H56="Behind the Meter","excluded",IF(NOT(OR($E56="Bundled",$E56="Energy")),"excluded",IF(OR($H56="Retail Power Marketer",$H56="Community Choice Aggregator",$E56="Energy"),"procurement",IF(OR($H56="Municipal",$H56="Cooperative",$H56="Federal",$H56="State",$H56="Political Subdivision"),"cost_service",IF($H56="Investor Owned",IF(AND(COUNTIF(Parameters!$A$4:$A$33,$G56)&gt;0,COUNTIF(Parameters!$B$4:$B$33,$B56)=0),"procurement","cost_service"),"unclassified"))))))</f>
        <v/>
      </c>
    </row>
    <row r="57">
      <c r="A57" t="n">
        <v>2024</v>
      </c>
      <c r="B57" t="n">
        <v>59054</v>
      </c>
      <c r="C57" t="inlineStr">
        <is>
          <t>Eligo Energy, LLC</t>
        </is>
      </c>
      <c r="D57" t="inlineStr">
        <is>
          <t>B</t>
        </is>
      </c>
      <c r="E57" t="inlineStr">
        <is>
          <t>Energy</t>
        </is>
      </c>
      <c r="F57" t="inlineStr">
        <is>
          <t>O</t>
        </is>
      </c>
      <c r="G57" t="inlineStr">
        <is>
          <t>MA</t>
        </is>
      </c>
      <c r="H57" t="inlineStr">
        <is>
          <t>Retail Power Marketer</t>
        </is>
      </c>
      <c r="I57" t="inlineStr">
        <is>
          <t>ISNE</t>
        </is>
      </c>
      <c r="J57" t="n">
        <v>34.6</v>
      </c>
      <c r="K57" t="n">
        <v>230</v>
      </c>
      <c r="L57" t="n">
        <v>26</v>
      </c>
      <c r="M57" t="n">
        <v>322.6</v>
      </c>
      <c r="N57" t="n">
        <v>2166</v>
      </c>
      <c r="O57" t="n">
        <v>69</v>
      </c>
      <c r="P57" t="inlineStr">
        <is>
          <t>.</t>
        </is>
      </c>
      <c r="Q57" t="inlineStr">
        <is>
          <t>.</t>
        </is>
      </c>
      <c r="R57" t="inlineStr">
        <is>
          <t>.</t>
        </is>
      </c>
      <c r="S57" t="inlineStr">
        <is>
          <t>.</t>
        </is>
      </c>
      <c r="T57" t="inlineStr">
        <is>
          <t>.</t>
        </is>
      </c>
      <c r="U57" t="inlineStr">
        <is>
          <t>.</t>
        </is>
      </c>
      <c r="V57" t="n">
        <v>357.2</v>
      </c>
      <c r="W57" t="n">
        <v>2396</v>
      </c>
      <c r="X57" t="n">
        <v>95</v>
      </c>
      <c r="Y57">
        <f>IF(ISNUMBER($W57),$W57,0)</f>
        <v/>
      </c>
      <c r="Z57">
        <f>IF(ISNUMBER(SEARCH("Adjustment",$C57)),"excluded",IF($H57="Behind the Meter","excluded",IF(NOT(OR($E57="Bundled",$E57="Energy")),"excluded",IF(OR($H57="Retail Power Marketer",$H57="Community Choice Aggregator",$E57="Energy"),"procurement",IF(OR($H57="Municipal",$H57="Cooperative",$H57="Federal",$H57="State",$H57="Political Subdivision"),"cost_service",IF($H57="Investor Owned",IF(AND(COUNTIF(Parameters!$A$4:$A$33,$G57)&gt;0,COUNTIF(Parameters!$B$4:$B$33,$B57)=0),"procurement","cost_service"),"unclassified"))))))</f>
        <v/>
      </c>
    </row>
    <row r="58">
      <c r="A58" t="n">
        <v>2024</v>
      </c>
      <c r="B58" t="n">
        <v>59059</v>
      </c>
      <c r="C58" t="inlineStr">
        <is>
          <t>Town Square Energy</t>
        </is>
      </c>
      <c r="D58" t="inlineStr">
        <is>
          <t>B</t>
        </is>
      </c>
      <c r="E58" t="inlineStr">
        <is>
          <t>Energy</t>
        </is>
      </c>
      <c r="F58" t="inlineStr">
        <is>
          <t>O</t>
        </is>
      </c>
      <c r="G58" t="inlineStr">
        <is>
          <t>MA</t>
        </is>
      </c>
      <c r="H58" t="inlineStr">
        <is>
          <t>Retail Power Marketer</t>
        </is>
      </c>
      <c r="I58" t="inlineStr">
        <is>
          <t>ISNE</t>
        </is>
      </c>
      <c r="J58" t="n">
        <v>20462.2</v>
      </c>
      <c r="K58" t="n">
        <v>135184</v>
      </c>
      <c r="L58" t="n">
        <v>16268</v>
      </c>
      <c r="M58" t="n">
        <v>1983.1</v>
      </c>
      <c r="N58" t="n">
        <v>13443</v>
      </c>
      <c r="O58" t="n">
        <v>748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22445.3</v>
      </c>
      <c r="W58" t="n">
        <v>148627</v>
      </c>
      <c r="X58" t="n">
        <v>17016</v>
      </c>
      <c r="Y58">
        <f>IF(ISNUMBER($W58),$W58,0)</f>
        <v/>
      </c>
      <c r="Z58">
        <f>IF(ISNUMBER(SEARCH("Adjustment",$C58)),"excluded",IF($H58="Behind the Meter","excluded",IF(NOT(OR($E58="Bundled",$E58="Energy")),"excluded",IF(OR($H58="Retail Power Marketer",$H58="Community Choice Aggregator",$E58="Energy"),"procurement",IF(OR($H58="Municipal",$H58="Cooperative",$H58="Federal",$H58="State",$H58="Political Subdivision"),"cost_service",IF($H58="Investor Owned",IF(AND(COUNTIF(Parameters!$A$4:$A$33,$G58)&gt;0,COUNTIF(Parameters!$B$4:$B$33,$B58)=0),"procurement","cost_service"),"unclassified"))))))</f>
        <v/>
      </c>
    </row>
    <row r="59">
      <c r="A59" t="n">
        <v>2024</v>
      </c>
      <c r="B59" t="n">
        <v>59065</v>
      </c>
      <c r="C59" t="inlineStr">
        <is>
          <t>Titan Gas LLC</t>
        </is>
      </c>
      <c r="D59" t="inlineStr">
        <is>
          <t>B</t>
        </is>
      </c>
      <c r="E59" t="inlineStr">
        <is>
          <t>Energy</t>
        </is>
      </c>
      <c r="F59" t="inlineStr">
        <is>
          <t>O</t>
        </is>
      </c>
      <c r="G59" t="inlineStr">
        <is>
          <t>MA</t>
        </is>
      </c>
      <c r="H59" t="inlineStr">
        <is>
          <t>Retail Power Marketer</t>
        </is>
      </c>
      <c r="I59" t="inlineStr">
        <is>
          <t>ISNE</t>
        </is>
      </c>
      <c r="J59" t="n">
        <v>11887.2</v>
      </c>
      <c r="K59" t="n">
        <v>64947</v>
      </c>
      <c r="L59" t="n">
        <v>9543</v>
      </c>
      <c r="M59" t="n">
        <v>2651.2</v>
      </c>
      <c r="N59" t="n">
        <v>18571</v>
      </c>
      <c r="O59" t="n">
        <v>400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14538.4</v>
      </c>
      <c r="W59" t="n">
        <v>83518</v>
      </c>
      <c r="X59" t="n">
        <v>9943</v>
      </c>
      <c r="Y59">
        <f>IF(ISNUMBER($W59),$W59,0)</f>
        <v/>
      </c>
      <c r="Z59">
        <f>IF(ISNUMBER(SEARCH("Adjustment",$C59)),"excluded",IF($H59="Behind the Meter","excluded",IF(NOT(OR($E59="Bundled",$E59="Energy")),"excluded",IF(OR($H59="Retail Power Marketer",$H59="Community Choice Aggregator",$E59="Energy"),"procurement",IF(OR($H59="Municipal",$H59="Cooperative",$H59="Federal",$H59="State",$H59="Political Subdivision"),"cost_service",IF($H59="Investor Owned",IF(AND(COUNTIF(Parameters!$A$4:$A$33,$G59)&gt;0,COUNTIF(Parameters!$B$4:$B$33,$B59)=0),"procurement","cost_service"),"unclassified"))))))</f>
        <v/>
      </c>
    </row>
    <row r="60">
      <c r="A60" t="n">
        <v>2024</v>
      </c>
      <c r="B60" t="n">
        <v>59086</v>
      </c>
      <c r="C60" t="inlineStr">
        <is>
          <t>Constellation Solar Holding, LLC</t>
        </is>
      </c>
      <c r="D60" t="inlineStr">
        <is>
          <t>A</t>
        </is>
      </c>
      <c r="E60" t="inlineStr">
        <is>
          <t>Bundled</t>
        </is>
      </c>
      <c r="F60" t="inlineStr">
        <is>
          <t>O</t>
        </is>
      </c>
      <c r="G60" t="inlineStr">
        <is>
          <t>MA</t>
        </is>
      </c>
      <c r="H60" t="inlineStr">
        <is>
          <t>Behind the Meter</t>
        </is>
      </c>
      <c r="I60" t="inlineStr">
        <is>
          <t>ISNE</t>
        </is>
      </c>
      <c r="J60" t="n">
        <v>0</v>
      </c>
      <c r="K60" t="n">
        <v>0</v>
      </c>
      <c r="L60" t="n">
        <v>0</v>
      </c>
      <c r="M60" t="n">
        <v>380.3</v>
      </c>
      <c r="N60" t="n">
        <v>3199</v>
      </c>
      <c r="O60" t="n">
        <v>3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380.3</v>
      </c>
      <c r="W60" t="n">
        <v>3199</v>
      </c>
      <c r="X60" t="n">
        <v>3</v>
      </c>
      <c r="Y60">
        <f>IF(ISNUMBER($W60),$W60,0)</f>
        <v/>
      </c>
      <c r="Z60">
        <f>IF(ISNUMBER(SEARCH("Adjustment",$C60)),"excluded",IF($H60="Behind the Meter","excluded",IF(NOT(OR($E60="Bundled",$E60="Energy")),"excluded",IF(OR($H60="Retail Power Marketer",$H60="Community Choice Aggregator",$E60="Energy"),"procurement",IF(OR($H60="Municipal",$H60="Cooperative",$H60="Federal",$H60="State",$H60="Political Subdivision"),"cost_service",IF($H60="Investor Owned",IF(AND(COUNTIF(Parameters!$A$4:$A$33,$G60)&gt;0,COUNTIF(Parameters!$B$4:$B$33,$B60)=0),"procurement","cost_service"),"unclassified"))))))</f>
        <v/>
      </c>
    </row>
    <row r="61">
      <c r="A61" t="n">
        <v>2024</v>
      </c>
      <c r="B61" t="n">
        <v>59088</v>
      </c>
      <c r="C61" t="inlineStr">
        <is>
          <t>Nordic Energy Services, LLC</t>
        </is>
      </c>
      <c r="D61" t="inlineStr">
        <is>
          <t>B</t>
        </is>
      </c>
      <c r="E61" t="inlineStr">
        <is>
          <t>Energy</t>
        </is>
      </c>
      <c r="F61" t="inlineStr">
        <is>
          <t>O</t>
        </is>
      </c>
      <c r="G61" t="inlineStr">
        <is>
          <t>MA</t>
        </is>
      </c>
      <c r="H61" t="inlineStr">
        <is>
          <t>Retail Power Marketer</t>
        </is>
      </c>
      <c r="I61" t="inlineStr">
        <is>
          <t>ISNE</t>
        </is>
      </c>
      <c r="J61" t="n">
        <v>5718.3</v>
      </c>
      <c r="K61" t="n">
        <v>27626</v>
      </c>
      <c r="L61" t="n">
        <v>5904</v>
      </c>
      <c r="M61" t="n">
        <v>347.6</v>
      </c>
      <c r="N61" t="n">
        <v>1675</v>
      </c>
      <c r="O61" t="n">
        <v>273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6065.9</v>
      </c>
      <c r="W61" t="n">
        <v>29301</v>
      </c>
      <c r="X61" t="n">
        <v>6177</v>
      </c>
      <c r="Y61">
        <f>IF(ISNUMBER($W61),$W61,0)</f>
        <v/>
      </c>
      <c r="Z61">
        <f>IF(ISNUMBER(SEARCH("Adjustment",$C61)),"excluded",IF($H61="Behind the Meter","excluded",IF(NOT(OR($E61="Bundled",$E61="Energy")),"excluded",IF(OR($H61="Retail Power Marketer",$H61="Community Choice Aggregator",$E61="Energy"),"procurement",IF(OR($H61="Municipal",$H61="Cooperative",$H61="Federal",$H61="State",$H61="Political Subdivision"),"cost_service",IF($H61="Investor Owned",IF(AND(COUNTIF(Parameters!$A$4:$A$33,$G61)&gt;0,COUNTIF(Parameters!$B$4:$B$33,$B61)=0),"procurement","cost_service"),"unclassified"))))))</f>
        <v/>
      </c>
    </row>
    <row r="62">
      <c r="A62" t="n">
        <v>2024</v>
      </c>
      <c r="B62" t="n">
        <v>59310</v>
      </c>
      <c r="C62" t="inlineStr">
        <is>
          <t>Inspire Energy Holdings, LLC</t>
        </is>
      </c>
      <c r="D62" t="inlineStr">
        <is>
          <t>B</t>
        </is>
      </c>
      <c r="E62" t="inlineStr">
        <is>
          <t>Energy</t>
        </is>
      </c>
      <c r="F62" t="inlineStr">
        <is>
          <t>O</t>
        </is>
      </c>
      <c r="G62" t="inlineStr">
        <is>
          <t>MA</t>
        </is>
      </c>
      <c r="H62" t="inlineStr">
        <is>
          <t>Retail Power Marketer</t>
        </is>
      </c>
      <c r="I62" t="inlineStr">
        <is>
          <t>ISNE</t>
        </is>
      </c>
      <c r="J62" t="n">
        <v>90452.39999999999</v>
      </c>
      <c r="K62" t="n">
        <v>454530</v>
      </c>
      <c r="L62" t="n">
        <v>63980</v>
      </c>
      <c r="M62" t="n">
        <v>1765.8</v>
      </c>
      <c r="N62" t="n">
        <v>11938</v>
      </c>
      <c r="O62" t="n">
        <v>454</v>
      </c>
      <c r="P62" t="inlineStr">
        <is>
          <t>.</t>
        </is>
      </c>
      <c r="Q62" t="inlineStr">
        <is>
          <t>.</t>
        </is>
      </c>
      <c r="R62" t="inlineStr">
        <is>
          <t>.</t>
        </is>
      </c>
      <c r="S62" t="inlineStr">
        <is>
          <t>.</t>
        </is>
      </c>
      <c r="T62" t="inlineStr">
        <is>
          <t>.</t>
        </is>
      </c>
      <c r="U62" t="inlineStr">
        <is>
          <t>.</t>
        </is>
      </c>
      <c r="V62" t="n">
        <v>92218.2</v>
      </c>
      <c r="W62" t="n">
        <v>466468</v>
      </c>
      <c r="X62" t="n">
        <v>64434</v>
      </c>
      <c r="Y62">
        <f>IF(ISNUMBER($W62),$W62,0)</f>
        <v/>
      </c>
      <c r="Z62">
        <f>IF(ISNUMBER(SEARCH("Adjustment",$C62)),"excluded",IF($H62="Behind the Meter","excluded",IF(NOT(OR($E62="Bundled",$E62="Energy")),"excluded",IF(OR($H62="Retail Power Marketer",$H62="Community Choice Aggregator",$E62="Energy"),"procurement",IF(OR($H62="Municipal",$H62="Cooperative",$H62="Federal",$H62="State",$H62="Political Subdivision"),"cost_service",IF($H62="Investor Owned",IF(AND(COUNTIF(Parameters!$A$4:$A$33,$G62)&gt;0,COUNTIF(Parameters!$B$4:$B$33,$B62)=0),"procurement","cost_service"),"unclassified"))))))</f>
        <v/>
      </c>
    </row>
    <row r="63">
      <c r="A63" t="n">
        <v>2024</v>
      </c>
      <c r="B63" t="n">
        <v>59313</v>
      </c>
      <c r="C63" t="inlineStr">
        <is>
          <t>Palmco Power MA, LLC</t>
        </is>
      </c>
      <c r="D63" t="inlineStr">
        <is>
          <t>B</t>
        </is>
      </c>
      <c r="E63" t="inlineStr">
        <is>
          <t>Energy</t>
        </is>
      </c>
      <c r="F63" t="inlineStr">
        <is>
          <t>O</t>
        </is>
      </c>
      <c r="G63" t="inlineStr">
        <is>
          <t>MA</t>
        </is>
      </c>
      <c r="H63" t="inlineStr">
        <is>
          <t>Retail Power Marketer</t>
        </is>
      </c>
      <c r="I63" t="inlineStr">
        <is>
          <t>ISNE</t>
        </is>
      </c>
      <c r="J63" t="n">
        <v>7873.7</v>
      </c>
      <c r="K63" t="n">
        <v>30853</v>
      </c>
      <c r="L63" t="n">
        <v>7016</v>
      </c>
      <c r="M63" t="n">
        <v>164.6</v>
      </c>
      <c r="N63" t="n">
        <v>842</v>
      </c>
      <c r="O63" t="n">
        <v>134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8038.3</v>
      </c>
      <c r="W63" t="n">
        <v>31695</v>
      </c>
      <c r="X63" t="n">
        <v>7150</v>
      </c>
      <c r="Y63">
        <f>IF(ISNUMBER($W63),$W63,0)</f>
        <v/>
      </c>
      <c r="Z63">
        <f>IF(ISNUMBER(SEARCH("Adjustment",$C63)),"excluded",IF($H63="Behind the Meter","excluded",IF(NOT(OR($E63="Bundled",$E63="Energy")),"excluded",IF(OR($H63="Retail Power Marketer",$H63="Community Choice Aggregator",$E63="Energy"),"procurement",IF(OR($H63="Municipal",$H63="Cooperative",$H63="Federal",$H63="State",$H63="Political Subdivision"),"cost_service",IF($H63="Investor Owned",IF(AND(COUNTIF(Parameters!$A$4:$A$33,$G63)&gt;0,COUNTIF(Parameters!$B$4:$B$33,$B63)=0),"procurement","cost_service"),"unclassified"))))))</f>
        <v/>
      </c>
    </row>
    <row r="64">
      <c r="A64" t="n">
        <v>2024</v>
      </c>
      <c r="B64" t="n">
        <v>59385</v>
      </c>
      <c r="C64" t="inlineStr">
        <is>
          <t>Dynegy Energy Services, LLC</t>
        </is>
      </c>
      <c r="D64" t="inlineStr">
        <is>
          <t>B</t>
        </is>
      </c>
      <c r="E64" t="inlineStr">
        <is>
          <t>Energy</t>
        </is>
      </c>
      <c r="F64" t="inlineStr">
        <is>
          <t>O</t>
        </is>
      </c>
      <c r="G64" t="inlineStr">
        <is>
          <t>MA</t>
        </is>
      </c>
      <c r="H64" t="inlineStr">
        <is>
          <t>Retail Power Marketer</t>
        </is>
      </c>
      <c r="I64" t="inlineStr">
        <is>
          <t>ISNE</t>
        </is>
      </c>
      <c r="J64" t="n">
        <v>225775.2</v>
      </c>
      <c r="K64" t="n">
        <v>1584702</v>
      </c>
      <c r="L64" t="n">
        <v>189517</v>
      </c>
      <c r="M64" t="n">
        <v>25505.8</v>
      </c>
      <c r="N64" t="n">
        <v>179024</v>
      </c>
      <c r="O64" t="n">
        <v>21410</v>
      </c>
      <c r="P64" t="n">
        <v>13</v>
      </c>
      <c r="Q64" t="n">
        <v>91</v>
      </c>
      <c r="R64" t="n">
        <v>11</v>
      </c>
      <c r="S64" t="n">
        <v>0</v>
      </c>
      <c r="T64" t="n">
        <v>0</v>
      </c>
      <c r="U64" t="n">
        <v>0</v>
      </c>
      <c r="V64" t="n">
        <v>251294</v>
      </c>
      <c r="W64" t="n">
        <v>1763817</v>
      </c>
      <c r="X64" t="n">
        <v>210938</v>
      </c>
      <c r="Y64">
        <f>IF(ISNUMBER($W64),$W64,0)</f>
        <v/>
      </c>
      <c r="Z64">
        <f>IF(ISNUMBER(SEARCH("Adjustment",$C64)),"excluded",IF($H64="Behind the Meter","excluded",IF(NOT(OR($E64="Bundled",$E64="Energy")),"excluded",IF(OR($H64="Retail Power Marketer",$H64="Community Choice Aggregator",$E64="Energy"),"procurement",IF(OR($H64="Municipal",$H64="Cooperative",$H64="Federal",$H64="State",$H64="Political Subdivision"),"cost_service",IF($H64="Investor Owned",IF(AND(COUNTIF(Parameters!$A$4:$A$33,$G64)&gt;0,COUNTIF(Parameters!$B$4:$B$33,$B64)=0),"procurement","cost_service"),"unclassified"))))))</f>
        <v/>
      </c>
    </row>
    <row r="65">
      <c r="A65" t="n">
        <v>2024</v>
      </c>
      <c r="B65" t="n">
        <v>59579</v>
      </c>
      <c r="C65" t="inlineStr">
        <is>
          <t>Sunnova</t>
        </is>
      </c>
      <c r="D65" t="inlineStr">
        <is>
          <t>A</t>
        </is>
      </c>
      <c r="E65" t="inlineStr">
        <is>
          <t>Bundled</t>
        </is>
      </c>
      <c r="F65" t="inlineStr">
        <is>
          <t>O</t>
        </is>
      </c>
      <c r="G65" t="inlineStr">
        <is>
          <t>MA</t>
        </is>
      </c>
      <c r="H65" t="inlineStr">
        <is>
          <t>Behind the Meter</t>
        </is>
      </c>
      <c r="I65" t="inlineStr">
        <is>
          <t>ISNE</t>
        </is>
      </c>
      <c r="J65" t="n">
        <v>30807.3</v>
      </c>
      <c r="K65" t="n">
        <v>129453</v>
      </c>
      <c r="L65" t="n">
        <v>16865</v>
      </c>
      <c r="M65" t="inlineStr">
        <is>
          <t>.</t>
        </is>
      </c>
      <c r="N65" t="inlineStr">
        <is>
          <t>.</t>
        </is>
      </c>
      <c r="O65" t="inlineStr">
        <is>
          <t>.</t>
        </is>
      </c>
      <c r="P65" t="inlineStr">
        <is>
          <t>.</t>
        </is>
      </c>
      <c r="Q65" t="inlineStr">
        <is>
          <t>.</t>
        </is>
      </c>
      <c r="R65" t="inlineStr">
        <is>
          <t>.</t>
        </is>
      </c>
      <c r="S65" t="inlineStr">
        <is>
          <t>.</t>
        </is>
      </c>
      <c r="T65" t="inlineStr">
        <is>
          <t>.</t>
        </is>
      </c>
      <c r="U65" t="inlineStr">
        <is>
          <t>.</t>
        </is>
      </c>
      <c r="V65" t="n">
        <v>30807.3</v>
      </c>
      <c r="W65" t="n">
        <v>129453</v>
      </c>
      <c r="X65" t="n">
        <v>16865</v>
      </c>
      <c r="Y65">
        <f>IF(ISNUMBER($W65),$W65,0)</f>
        <v/>
      </c>
      <c r="Z65">
        <f>IF(ISNUMBER(SEARCH("Adjustment",$C65)),"excluded",IF($H65="Behind the Meter","excluded",IF(NOT(OR($E65="Bundled",$E65="Energy")),"excluded",IF(OR($H65="Retail Power Marketer",$H65="Community Choice Aggregator",$E65="Energy"),"procurement",IF(OR($H65="Municipal",$H65="Cooperative",$H65="Federal",$H65="State",$H65="Political Subdivision"),"cost_service",IF($H65="Investor Owned",IF(AND(COUNTIF(Parameters!$A$4:$A$33,$G65)&gt;0,COUNTIF(Parameters!$B$4:$B$33,$B65)=0),"procurement","cost_service"),"unclassified"))))))</f>
        <v/>
      </c>
    </row>
    <row r="66">
      <c r="A66" t="n">
        <v>2024</v>
      </c>
      <c r="B66" t="n">
        <v>59580</v>
      </c>
      <c r="C66" t="inlineStr">
        <is>
          <t>SunPower Capital, LLC</t>
        </is>
      </c>
      <c r="D66" t="inlineStr">
        <is>
          <t>A</t>
        </is>
      </c>
      <c r="E66" t="inlineStr">
        <is>
          <t>Bundled</t>
        </is>
      </c>
      <c r="F66" t="inlineStr">
        <is>
          <t>O</t>
        </is>
      </c>
      <c r="G66" t="inlineStr">
        <is>
          <t>MA</t>
        </is>
      </c>
      <c r="H66" t="inlineStr">
        <is>
          <t>Behind the Meter</t>
        </is>
      </c>
      <c r="I66" t="inlineStr">
        <is>
          <t>ISNE</t>
        </is>
      </c>
      <c r="J66" t="n">
        <v>2182.6</v>
      </c>
      <c r="K66" t="n">
        <v>10940</v>
      </c>
      <c r="L66" t="n">
        <v>1363</v>
      </c>
      <c r="M66" t="inlineStr">
        <is>
          <t>.</t>
        </is>
      </c>
      <c r="N66" t="inlineStr">
        <is>
          <t>.</t>
        </is>
      </c>
      <c r="O66" t="inlineStr">
        <is>
          <t>.</t>
        </is>
      </c>
      <c r="P66" t="inlineStr">
        <is>
          <t>.</t>
        </is>
      </c>
      <c r="Q66" t="inlineStr">
        <is>
          <t>.</t>
        </is>
      </c>
      <c r="R66" t="inlineStr">
        <is>
          <t>.</t>
        </is>
      </c>
      <c r="S66" t="inlineStr">
        <is>
          <t>.</t>
        </is>
      </c>
      <c r="T66" t="inlineStr">
        <is>
          <t>.</t>
        </is>
      </c>
      <c r="U66" t="inlineStr">
        <is>
          <t>.</t>
        </is>
      </c>
      <c r="V66" t="n">
        <v>2182.6</v>
      </c>
      <c r="W66" t="n">
        <v>10940</v>
      </c>
      <c r="X66" t="n">
        <v>1363</v>
      </c>
      <c r="Y66">
        <f>IF(ISNUMBER($W66),$W66,0)</f>
        <v/>
      </c>
      <c r="Z66">
        <f>IF(ISNUMBER(SEARCH("Adjustment",$C66)),"excluded",IF($H66="Behind the Meter","excluded",IF(NOT(OR($E66="Bundled",$E66="Energy")),"excluded",IF(OR($H66="Retail Power Marketer",$H66="Community Choice Aggregator",$E66="Energy"),"procurement",IF(OR($H66="Municipal",$H66="Cooperative",$H66="Federal",$H66="State",$H66="Political Subdivision"),"cost_service",IF($H66="Investor Owned",IF(AND(COUNTIF(Parameters!$A$4:$A$33,$G66)&gt;0,COUNTIF(Parameters!$B$4:$B$33,$B66)=0),"procurement","cost_service"),"unclassified"))))))</f>
        <v/>
      </c>
    </row>
    <row r="67">
      <c r="A67" t="n">
        <v>2024</v>
      </c>
      <c r="B67" t="n">
        <v>59620</v>
      </c>
      <c r="C67" t="inlineStr">
        <is>
          <t>Verde Energy USA</t>
        </is>
      </c>
      <c r="D67" t="inlineStr">
        <is>
          <t>B</t>
        </is>
      </c>
      <c r="E67" t="inlineStr">
        <is>
          <t>Energy</t>
        </is>
      </c>
      <c r="F67" t="inlineStr">
        <is>
          <t>O</t>
        </is>
      </c>
      <c r="G67" t="inlineStr">
        <is>
          <t>MA</t>
        </is>
      </c>
      <c r="H67" t="inlineStr">
        <is>
          <t>Retail Power Marketer</t>
        </is>
      </c>
      <c r="I67" t="inlineStr">
        <is>
          <t>ISNE</t>
        </is>
      </c>
      <c r="J67" t="n">
        <v>6721</v>
      </c>
      <c r="K67" t="n">
        <v>28909</v>
      </c>
      <c r="L67" t="n">
        <v>5239</v>
      </c>
      <c r="M67" t="n">
        <v>159</v>
      </c>
      <c r="N67" t="n">
        <v>658</v>
      </c>
      <c r="O67" t="n">
        <v>76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6880</v>
      </c>
      <c r="W67" t="n">
        <v>29567</v>
      </c>
      <c r="X67" t="n">
        <v>5315</v>
      </c>
      <c r="Y67">
        <f>IF(ISNUMBER($W67),$W67,0)</f>
        <v/>
      </c>
      <c r="Z67">
        <f>IF(ISNUMBER(SEARCH("Adjustment",$C67)),"excluded",IF($H67="Behind the Meter","excluded",IF(NOT(OR($E67="Bundled",$E67="Energy")),"excluded",IF(OR($H67="Retail Power Marketer",$H67="Community Choice Aggregator",$E67="Energy"),"procurement",IF(OR($H67="Municipal",$H67="Cooperative",$H67="Federal",$H67="State",$H67="Political Subdivision"),"cost_service",IF($H67="Investor Owned",IF(AND(COUNTIF(Parameters!$A$4:$A$33,$G67)&gt;0,COUNTIF(Parameters!$B$4:$B$33,$B67)=0),"procurement","cost_service"),"unclassified"))))))</f>
        <v/>
      </c>
    </row>
    <row r="68">
      <c r="A68" t="n">
        <v>2024</v>
      </c>
      <c r="B68" t="n">
        <v>59622</v>
      </c>
      <c r="C68" t="inlineStr">
        <is>
          <t>Ahana Renewables, LLC</t>
        </is>
      </c>
      <c r="D68" t="inlineStr">
        <is>
          <t>A</t>
        </is>
      </c>
      <c r="E68" t="inlineStr">
        <is>
          <t>Bundled</t>
        </is>
      </c>
      <c r="F68" t="inlineStr">
        <is>
          <t>O</t>
        </is>
      </c>
      <c r="G68" t="inlineStr">
        <is>
          <t>MA</t>
        </is>
      </c>
      <c r="H68" t="inlineStr">
        <is>
          <t>Behind the Meter</t>
        </is>
      </c>
      <c r="I68" t="inlineStr">
        <is>
          <t>ISNE</t>
        </is>
      </c>
      <c r="J68" t="n">
        <v>0</v>
      </c>
      <c r="K68" t="n">
        <v>0</v>
      </c>
      <c r="L68" t="n">
        <v>0</v>
      </c>
      <c r="M68" t="n">
        <v>6736.9</v>
      </c>
      <c r="N68" t="n">
        <v>34287</v>
      </c>
      <c r="O68" t="n">
        <v>17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6736.9</v>
      </c>
      <c r="W68" t="n">
        <v>34287</v>
      </c>
      <c r="X68" t="n">
        <v>17</v>
      </c>
      <c r="Y68">
        <f>IF(ISNUMBER($W68),$W68,0)</f>
        <v/>
      </c>
      <c r="Z68">
        <f>IF(ISNUMBER(SEARCH("Adjustment",$C68)),"excluded",IF($H68="Behind the Meter","excluded",IF(NOT(OR($E68="Bundled",$E68="Energy")),"excluded",IF(OR($H68="Retail Power Marketer",$H68="Community Choice Aggregator",$E68="Energy"),"procurement",IF(OR($H68="Municipal",$H68="Cooperative",$H68="Federal",$H68="State",$H68="Political Subdivision"),"cost_service",IF($H68="Investor Owned",IF(AND(COUNTIF(Parameters!$A$4:$A$33,$G68)&gt;0,COUNTIF(Parameters!$B$4:$B$33,$B68)=0),"procurement","cost_service"),"unclassified"))))))</f>
        <v/>
      </c>
    </row>
    <row r="69">
      <c r="A69" t="n">
        <v>2024</v>
      </c>
      <c r="B69" t="n">
        <v>59647</v>
      </c>
      <c r="C69" t="inlineStr">
        <is>
          <t>Sunrun Inc.</t>
        </is>
      </c>
      <c r="D69" t="inlineStr">
        <is>
          <t>A</t>
        </is>
      </c>
      <c r="E69" t="inlineStr">
        <is>
          <t>Bundled</t>
        </is>
      </c>
      <c r="F69" t="inlineStr">
        <is>
          <t>O</t>
        </is>
      </c>
      <c r="G69" t="inlineStr">
        <is>
          <t>MA</t>
        </is>
      </c>
      <c r="H69" t="inlineStr">
        <is>
          <t>Behind the Meter</t>
        </is>
      </c>
      <c r="I69" t="inlineStr">
        <is>
          <t>ISNE</t>
        </is>
      </c>
      <c r="J69" t="n">
        <v>101533.8</v>
      </c>
      <c r="K69" t="n">
        <v>412397</v>
      </c>
      <c r="L69" t="n">
        <v>57153</v>
      </c>
      <c r="M69" t="inlineStr">
        <is>
          <t>.</t>
        </is>
      </c>
      <c r="N69" t="inlineStr">
        <is>
          <t>.</t>
        </is>
      </c>
      <c r="O69" t="inlineStr">
        <is>
          <t>.</t>
        </is>
      </c>
      <c r="P69" t="inlineStr">
        <is>
          <t>.</t>
        </is>
      </c>
      <c r="Q69" t="inlineStr">
        <is>
          <t>.</t>
        </is>
      </c>
      <c r="R69" t="inlineStr">
        <is>
          <t>.</t>
        </is>
      </c>
      <c r="S69" t="inlineStr">
        <is>
          <t>.</t>
        </is>
      </c>
      <c r="T69" t="inlineStr">
        <is>
          <t>.</t>
        </is>
      </c>
      <c r="U69" t="inlineStr">
        <is>
          <t>.</t>
        </is>
      </c>
      <c r="V69" t="n">
        <v>101533.8</v>
      </c>
      <c r="W69" t="n">
        <v>412397</v>
      </c>
      <c r="X69" t="n">
        <v>57153</v>
      </c>
      <c r="Y69">
        <f>IF(ISNUMBER($W69),$W69,0)</f>
        <v/>
      </c>
      <c r="Z69">
        <f>IF(ISNUMBER(SEARCH("Adjustment",$C69)),"excluded",IF($H69="Behind the Meter","excluded",IF(NOT(OR($E69="Bundled",$E69="Energy")),"excluded",IF(OR($H69="Retail Power Marketer",$H69="Community Choice Aggregator",$E69="Energy"),"procurement",IF(OR($H69="Municipal",$H69="Cooperative",$H69="Federal",$H69="State",$H69="Political Subdivision"),"cost_service",IF($H69="Investor Owned",IF(AND(COUNTIF(Parameters!$A$4:$A$33,$G69)&gt;0,COUNTIF(Parameters!$B$4:$B$33,$B69)=0),"procurement","cost_service"),"unclassified"))))))</f>
        <v/>
      </c>
    </row>
    <row r="70">
      <c r="A70" t="n">
        <v>2024</v>
      </c>
      <c r="B70" t="n">
        <v>59679</v>
      </c>
      <c r="C70" t="inlineStr">
        <is>
          <t>Aggregated Transit Energy</t>
        </is>
      </c>
      <c r="D70" t="inlineStr">
        <is>
          <t>B</t>
        </is>
      </c>
      <c r="E70" t="inlineStr">
        <is>
          <t>Energy</t>
        </is>
      </c>
      <c r="F70" t="inlineStr">
        <is>
          <t>O</t>
        </is>
      </c>
      <c r="G70" t="inlineStr">
        <is>
          <t>MA</t>
        </is>
      </c>
      <c r="H70" t="inlineStr">
        <is>
          <t>Retail Power Marketer</t>
        </is>
      </c>
      <c r="I70" t="inlineStr">
        <is>
          <t>ISNE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21603.8</v>
      </c>
      <c r="T70" t="n">
        <v>325824</v>
      </c>
      <c r="U70" t="n">
        <v>1</v>
      </c>
      <c r="V70" t="n">
        <v>21603.8</v>
      </c>
      <c r="W70" t="n">
        <v>325824</v>
      </c>
      <c r="X70" t="n">
        <v>1</v>
      </c>
      <c r="Y70">
        <f>IF(ISNUMBER($W70),$W70,0)</f>
        <v/>
      </c>
      <c r="Z70">
        <f>IF(ISNUMBER(SEARCH("Adjustment",$C70)),"excluded",IF($H70="Behind the Meter","excluded",IF(NOT(OR($E70="Bundled",$E70="Energy")),"excluded",IF(OR($H70="Retail Power Marketer",$H70="Community Choice Aggregator",$E70="Energy"),"procurement",IF(OR($H70="Municipal",$H70="Cooperative",$H70="Federal",$H70="State",$H70="Political Subdivision"),"cost_service",IF($H70="Investor Owned",IF(AND(COUNTIF(Parameters!$A$4:$A$33,$G70)&gt;0,COUNTIF(Parameters!$B$4:$B$33,$B70)=0),"procurement","cost_service"),"unclassified"))))))</f>
        <v/>
      </c>
    </row>
    <row r="71">
      <c r="A71" t="n">
        <v>2024</v>
      </c>
      <c r="B71" t="n">
        <v>59734</v>
      </c>
      <c r="C71" t="inlineStr">
        <is>
          <t>SFE Energy Massachusetts, Inc.</t>
        </is>
      </c>
      <c r="D71" t="inlineStr">
        <is>
          <t>B</t>
        </is>
      </c>
      <c r="E71" t="inlineStr">
        <is>
          <t>Energy</t>
        </is>
      </c>
      <c r="F71" t="inlineStr">
        <is>
          <t>O</t>
        </is>
      </c>
      <c r="G71" t="inlineStr">
        <is>
          <t>MA</t>
        </is>
      </c>
      <c r="H71" t="inlineStr">
        <is>
          <t>Retail Power Marketer</t>
        </is>
      </c>
      <c r="I71" t="inlineStr">
        <is>
          <t>ISNE</t>
        </is>
      </c>
      <c r="J71" t="n">
        <v>5689</v>
      </c>
      <c r="K71" t="n">
        <v>33679</v>
      </c>
      <c r="L71" t="n">
        <v>6435</v>
      </c>
      <c r="M71" t="n">
        <v>19944.9</v>
      </c>
      <c r="N71" t="n">
        <v>118611</v>
      </c>
      <c r="O71" t="n">
        <v>3481</v>
      </c>
      <c r="P71" t="inlineStr">
        <is>
          <t>.</t>
        </is>
      </c>
      <c r="Q71" t="inlineStr">
        <is>
          <t>.</t>
        </is>
      </c>
      <c r="R71" t="inlineStr">
        <is>
          <t>.</t>
        </is>
      </c>
      <c r="S71" t="inlineStr">
        <is>
          <t>.</t>
        </is>
      </c>
      <c r="T71" t="inlineStr">
        <is>
          <t>.</t>
        </is>
      </c>
      <c r="U71" t="inlineStr">
        <is>
          <t>.</t>
        </is>
      </c>
      <c r="V71" t="n">
        <v>25633.9</v>
      </c>
      <c r="W71" t="n">
        <v>152290</v>
      </c>
      <c r="X71" t="n">
        <v>9916</v>
      </c>
      <c r="Y71">
        <f>IF(ISNUMBER($W71),$W71,0)</f>
        <v/>
      </c>
      <c r="Z71">
        <f>IF(ISNUMBER(SEARCH("Adjustment",$C71)),"excluded",IF($H71="Behind the Meter","excluded",IF(NOT(OR($E71="Bundled",$E71="Energy")),"excluded",IF(OR($H71="Retail Power Marketer",$H71="Community Choice Aggregator",$E71="Energy"),"procurement",IF(OR($H71="Municipal",$H71="Cooperative",$H71="Federal",$H71="State",$H71="Political Subdivision"),"cost_service",IF($H71="Investor Owned",IF(AND(COUNTIF(Parameters!$A$4:$A$33,$G71)&gt;0,COUNTIF(Parameters!$B$4:$B$33,$B71)=0),"procurement","cost_service"),"unclassified"))))))</f>
        <v/>
      </c>
    </row>
    <row r="72">
      <c r="A72" t="n">
        <v>2024</v>
      </c>
      <c r="B72" t="n">
        <v>59793</v>
      </c>
      <c r="C72" t="inlineStr">
        <is>
          <t>First Point Power, LLC</t>
        </is>
      </c>
      <c r="D72" t="inlineStr">
        <is>
          <t>B</t>
        </is>
      </c>
      <c r="E72" t="inlineStr">
        <is>
          <t>Energy</t>
        </is>
      </c>
      <c r="F72" t="inlineStr">
        <is>
          <t>O</t>
        </is>
      </c>
      <c r="G72" t="inlineStr">
        <is>
          <t>MA</t>
        </is>
      </c>
      <c r="H72" t="inlineStr">
        <is>
          <t>Retail Power Marketer</t>
        </is>
      </c>
      <c r="I72" t="inlineStr">
        <is>
          <t>ISNE</t>
        </is>
      </c>
      <c r="J72" t="n">
        <v>167851.5</v>
      </c>
      <c r="K72" t="n">
        <v>1219680</v>
      </c>
      <c r="L72" t="n">
        <v>162849</v>
      </c>
      <c r="M72" t="n">
        <v>92533.2</v>
      </c>
      <c r="N72" t="n">
        <v>709223</v>
      </c>
      <c r="O72" t="n">
        <v>24481</v>
      </c>
      <c r="P72" t="n">
        <v>61623.6</v>
      </c>
      <c r="Q72" t="n">
        <v>545791</v>
      </c>
      <c r="R72" t="n">
        <v>189</v>
      </c>
      <c r="S72" t="n">
        <v>0</v>
      </c>
      <c r="T72" t="n">
        <v>0</v>
      </c>
      <c r="U72" t="n">
        <v>0</v>
      </c>
      <c r="V72" t="n">
        <v>322008.3</v>
      </c>
      <c r="W72" t="n">
        <v>2474694</v>
      </c>
      <c r="X72" t="n">
        <v>187519</v>
      </c>
      <c r="Y72">
        <f>IF(ISNUMBER($W72),$W72,0)</f>
        <v/>
      </c>
      <c r="Z72">
        <f>IF(ISNUMBER(SEARCH("Adjustment",$C72)),"excluded",IF($H72="Behind the Meter","excluded",IF(NOT(OR($E72="Bundled",$E72="Energy")),"excluded",IF(OR($H72="Retail Power Marketer",$H72="Community Choice Aggregator",$E72="Energy"),"procurement",IF(OR($H72="Municipal",$H72="Cooperative",$H72="Federal",$H72="State",$H72="Political Subdivision"),"cost_service",IF($H72="Investor Owned",IF(AND(COUNTIF(Parameters!$A$4:$A$33,$G72)&gt;0,COUNTIF(Parameters!$B$4:$B$33,$B72)=0),"procurement","cost_service"),"unclassified"))))))</f>
        <v/>
      </c>
    </row>
    <row r="73">
      <c r="A73" t="n">
        <v>2024</v>
      </c>
      <c r="B73" t="n">
        <v>59799</v>
      </c>
      <c r="C73" t="inlineStr">
        <is>
          <t>American Power &amp; Gas</t>
        </is>
      </c>
      <c r="D73" t="inlineStr">
        <is>
          <t>B</t>
        </is>
      </c>
      <c r="E73" t="inlineStr">
        <is>
          <t>Energy</t>
        </is>
      </c>
      <c r="F73" t="inlineStr">
        <is>
          <t>O</t>
        </is>
      </c>
      <c r="G73" t="inlineStr">
        <is>
          <t>MA</t>
        </is>
      </c>
      <c r="H73" t="inlineStr">
        <is>
          <t>Retail Power Marketer</t>
        </is>
      </c>
      <c r="I73" t="inlineStr">
        <is>
          <t>ISNE</t>
        </is>
      </c>
      <c r="J73" t="n">
        <v>0</v>
      </c>
      <c r="K73" t="n">
        <v>0</v>
      </c>
      <c r="L73" t="n">
        <v>0</v>
      </c>
      <c r="M73" t="n">
        <v>55.4</v>
      </c>
      <c r="N73" t="n">
        <v>199</v>
      </c>
      <c r="O73" t="n">
        <v>5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55.4</v>
      </c>
      <c r="W73" t="n">
        <v>199</v>
      </c>
      <c r="X73" t="n">
        <v>5</v>
      </c>
      <c r="Y73">
        <f>IF(ISNUMBER($W73),$W73,0)</f>
        <v/>
      </c>
      <c r="Z73">
        <f>IF(ISNUMBER(SEARCH("Adjustment",$C73)),"excluded",IF($H73="Behind the Meter","excluded",IF(NOT(OR($E73="Bundled",$E73="Energy")),"excluded",IF(OR($H73="Retail Power Marketer",$H73="Community Choice Aggregator",$E73="Energy"),"procurement",IF(OR($H73="Municipal",$H73="Cooperative",$H73="Federal",$H73="State",$H73="Political Subdivision"),"cost_service",IF($H73="Investor Owned",IF(AND(COUNTIF(Parameters!$A$4:$A$33,$G73)&gt;0,COUNTIF(Parameters!$B$4:$B$33,$B73)=0),"procurement","cost_service"),"unclassified"))))))</f>
        <v/>
      </c>
    </row>
    <row r="74">
      <c r="A74" t="n">
        <v>2024</v>
      </c>
      <c r="B74" t="n">
        <v>59808</v>
      </c>
      <c r="C74" t="inlineStr">
        <is>
          <t>MP2 Energy LLC</t>
        </is>
      </c>
      <c r="D74" t="inlineStr">
        <is>
          <t>B</t>
        </is>
      </c>
      <c r="E74" t="inlineStr">
        <is>
          <t>Energy</t>
        </is>
      </c>
      <c r="F74" t="inlineStr">
        <is>
          <t>O</t>
        </is>
      </c>
      <c r="G74" t="inlineStr">
        <is>
          <t>MA</t>
        </is>
      </c>
      <c r="H74" t="inlineStr">
        <is>
          <t>Retail Power Marketer</t>
        </is>
      </c>
      <c r="I74" t="inlineStr">
        <is>
          <t>ISNE</t>
        </is>
      </c>
      <c r="J74" t="n">
        <v>0</v>
      </c>
      <c r="K74" t="n">
        <v>0</v>
      </c>
      <c r="L74" t="n">
        <v>0</v>
      </c>
      <c r="M74" t="n">
        <v>17835.2</v>
      </c>
      <c r="N74" t="n">
        <v>142074</v>
      </c>
      <c r="O74" t="n">
        <v>520</v>
      </c>
      <c r="P74" t="n">
        <v>2355.7</v>
      </c>
      <c r="Q74" t="n">
        <v>17817</v>
      </c>
      <c r="R74" t="n">
        <v>10</v>
      </c>
      <c r="S74" t="n">
        <v>0</v>
      </c>
      <c r="T74" t="n">
        <v>0</v>
      </c>
      <c r="U74" t="n">
        <v>0</v>
      </c>
      <c r="V74" t="n">
        <v>20190.9</v>
      </c>
      <c r="W74" t="n">
        <v>159891</v>
      </c>
      <c r="X74" t="n">
        <v>530</v>
      </c>
      <c r="Y74">
        <f>IF(ISNUMBER($W74),$W74,0)</f>
        <v/>
      </c>
      <c r="Z74">
        <f>IF(ISNUMBER(SEARCH("Adjustment",$C74)),"excluded",IF($H74="Behind the Meter","excluded",IF(NOT(OR($E74="Bundled",$E74="Energy")),"excluded",IF(OR($H74="Retail Power Marketer",$H74="Community Choice Aggregator",$E74="Energy"),"procurement",IF(OR($H74="Municipal",$H74="Cooperative",$H74="Federal",$H74="State",$H74="Political Subdivision"),"cost_service",IF($H74="Investor Owned",IF(AND(COUNTIF(Parameters!$A$4:$A$33,$G74)&gt;0,COUNTIF(Parameters!$B$4:$B$33,$B74)=0),"procurement","cost_service"),"unclassified"))))))</f>
        <v/>
      </c>
    </row>
    <row r="75">
      <c r="A75" t="n">
        <v>2024</v>
      </c>
      <c r="B75" t="n">
        <v>59809</v>
      </c>
      <c r="C75" t="inlineStr">
        <is>
          <t>Residents Energy, LLC</t>
        </is>
      </c>
      <c r="D75" t="inlineStr">
        <is>
          <t>B</t>
        </is>
      </c>
      <c r="E75" t="inlineStr">
        <is>
          <t>Energy</t>
        </is>
      </c>
      <c r="F75" t="inlineStr">
        <is>
          <t>O</t>
        </is>
      </c>
      <c r="G75" t="inlineStr">
        <is>
          <t>MA</t>
        </is>
      </c>
      <c r="H75" t="inlineStr">
        <is>
          <t>Retail Power Marketer</t>
        </is>
      </c>
      <c r="I75" t="inlineStr">
        <is>
          <t>ISNE</t>
        </is>
      </c>
      <c r="J75" t="n">
        <v>20987.3</v>
      </c>
      <c r="K75" t="n">
        <v>107963</v>
      </c>
      <c r="L75" t="n">
        <v>18268</v>
      </c>
      <c r="M75" t="n">
        <v>4335.8</v>
      </c>
      <c r="N75" t="n">
        <v>30307</v>
      </c>
      <c r="O75" t="n">
        <v>959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25323.1</v>
      </c>
      <c r="W75" t="n">
        <v>138270</v>
      </c>
      <c r="X75" t="n">
        <v>19227</v>
      </c>
      <c r="Y75">
        <f>IF(ISNUMBER($W75),$W75,0)</f>
        <v/>
      </c>
      <c r="Z75">
        <f>IF(ISNUMBER(SEARCH("Adjustment",$C75)),"excluded",IF($H75="Behind the Meter","excluded",IF(NOT(OR($E75="Bundled",$E75="Energy")),"excluded",IF(OR($H75="Retail Power Marketer",$H75="Community Choice Aggregator",$E75="Energy"),"procurement",IF(OR($H75="Municipal",$H75="Cooperative",$H75="Federal",$H75="State",$H75="Political Subdivision"),"cost_service",IF($H75="Investor Owned",IF(AND(COUNTIF(Parameters!$A$4:$A$33,$G75)&gt;0,COUNTIF(Parameters!$B$4:$B$33,$B75)=0),"procurement","cost_service"),"unclassified"))))))</f>
        <v/>
      </c>
    </row>
    <row r="76">
      <c r="A76" t="n">
        <v>2024</v>
      </c>
      <c r="B76" t="n">
        <v>59931</v>
      </c>
      <c r="C76" t="inlineStr">
        <is>
          <t>MidAmerican Energy Services, LLC</t>
        </is>
      </c>
      <c r="D76" t="inlineStr">
        <is>
          <t>B</t>
        </is>
      </c>
      <c r="E76" t="inlineStr">
        <is>
          <t>Energy</t>
        </is>
      </c>
      <c r="F76" t="inlineStr">
        <is>
          <t>O</t>
        </is>
      </c>
      <c r="G76" t="inlineStr">
        <is>
          <t>MA</t>
        </is>
      </c>
      <c r="H76" t="inlineStr">
        <is>
          <t>Retail Power Marketer</t>
        </is>
      </c>
      <c r="I76" t="inlineStr">
        <is>
          <t>ISNE</t>
        </is>
      </c>
      <c r="J76" t="n">
        <v>23.8</v>
      </c>
      <c r="K76" t="n">
        <v>151</v>
      </c>
      <c r="L76" t="n">
        <v>16</v>
      </c>
      <c r="M76" t="n">
        <v>8141.3</v>
      </c>
      <c r="N76" t="n">
        <v>68005</v>
      </c>
      <c r="O76" t="n">
        <v>372</v>
      </c>
      <c r="P76" t="n">
        <v>1053.2</v>
      </c>
      <c r="Q76" t="n">
        <v>11731</v>
      </c>
      <c r="R76" t="n">
        <v>2</v>
      </c>
      <c r="S76" t="n">
        <v>0</v>
      </c>
      <c r="T76" t="n">
        <v>0</v>
      </c>
      <c r="U76" t="n">
        <v>0</v>
      </c>
      <c r="V76" t="n">
        <v>9218.299999999999</v>
      </c>
      <c r="W76" t="n">
        <v>79887</v>
      </c>
      <c r="X76" t="n">
        <v>390</v>
      </c>
      <c r="Y76">
        <f>IF(ISNUMBER($W76),$W76,0)</f>
        <v/>
      </c>
      <c r="Z76">
        <f>IF(ISNUMBER(SEARCH("Adjustment",$C76)),"excluded",IF($H76="Behind the Meter","excluded",IF(NOT(OR($E76="Bundled",$E76="Energy")),"excluded",IF(OR($H76="Retail Power Marketer",$H76="Community Choice Aggregator",$E76="Energy"),"procurement",IF(OR($H76="Municipal",$H76="Cooperative",$H76="Federal",$H76="State",$H76="Political Subdivision"),"cost_service",IF($H76="Investor Owned",IF(AND(COUNTIF(Parameters!$A$4:$A$33,$G76)&gt;0,COUNTIF(Parameters!$B$4:$B$33,$B76)=0),"procurement","cost_service"),"unclassified"))))))</f>
        <v/>
      </c>
    </row>
    <row r="77">
      <c r="A77" t="n">
        <v>2024</v>
      </c>
      <c r="B77" t="n">
        <v>59943</v>
      </c>
      <c r="C77" t="inlineStr">
        <is>
          <t>Spruce Finance</t>
        </is>
      </c>
      <c r="D77" t="inlineStr">
        <is>
          <t>A</t>
        </is>
      </c>
      <c r="E77" t="inlineStr">
        <is>
          <t>Bundled</t>
        </is>
      </c>
      <c r="F77" t="inlineStr">
        <is>
          <t>O</t>
        </is>
      </c>
      <c r="G77" t="inlineStr">
        <is>
          <t>MA</t>
        </is>
      </c>
      <c r="H77" t="inlineStr">
        <is>
          <t>Behind the Meter</t>
        </is>
      </c>
      <c r="I77" t="inlineStr">
        <is>
          <t>ISNE</t>
        </is>
      </c>
      <c r="J77" t="n">
        <v>3449.8</v>
      </c>
      <c r="K77" t="n">
        <v>23221</v>
      </c>
      <c r="L77" t="n">
        <v>3401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3449.8</v>
      </c>
      <c r="W77" t="n">
        <v>23221</v>
      </c>
      <c r="X77" t="n">
        <v>3401</v>
      </c>
      <c r="Y77">
        <f>IF(ISNUMBER($W77),$W77,0)</f>
        <v/>
      </c>
      <c r="Z77">
        <f>IF(ISNUMBER(SEARCH("Adjustment",$C77)),"excluded",IF($H77="Behind the Meter","excluded",IF(NOT(OR($E77="Bundled",$E77="Energy")),"excluded",IF(OR($H77="Retail Power Marketer",$H77="Community Choice Aggregator",$E77="Energy"),"procurement",IF(OR($H77="Municipal",$H77="Cooperative",$H77="Federal",$H77="State",$H77="Political Subdivision"),"cost_service",IF($H77="Investor Owned",IF(AND(COUNTIF(Parameters!$A$4:$A$33,$G77)&gt;0,COUNTIF(Parameters!$B$4:$B$33,$B77)=0),"procurement","cost_service"),"unclassified"))))))</f>
        <v/>
      </c>
    </row>
    <row r="78">
      <c r="A78" t="n">
        <v>2024</v>
      </c>
      <c r="B78" t="n">
        <v>59993</v>
      </c>
      <c r="C78" t="inlineStr">
        <is>
          <t>Discount Power Inc - (CT)</t>
        </is>
      </c>
      <c r="D78" t="inlineStr">
        <is>
          <t>B</t>
        </is>
      </c>
      <c r="E78" t="inlineStr">
        <is>
          <t>Energy</t>
        </is>
      </c>
      <c r="F78" t="inlineStr">
        <is>
          <t>O</t>
        </is>
      </c>
      <c r="G78" t="inlineStr">
        <is>
          <t>MA</t>
        </is>
      </c>
      <c r="H78" t="inlineStr">
        <is>
          <t>Retail Power Marketer</t>
        </is>
      </c>
      <c r="I78" t="inlineStr">
        <is>
          <t>ISNE</t>
        </is>
      </c>
      <c r="J78" t="n">
        <v>7497.8</v>
      </c>
      <c r="K78" t="n">
        <v>28219</v>
      </c>
      <c r="L78" t="n">
        <v>4663</v>
      </c>
      <c r="M78" t="n">
        <v>127.5</v>
      </c>
      <c r="N78" t="n">
        <v>678</v>
      </c>
      <c r="O78" t="n">
        <v>58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7625.3</v>
      </c>
      <c r="W78" t="n">
        <v>28897</v>
      </c>
      <c r="X78" t="n">
        <v>4721</v>
      </c>
      <c r="Y78">
        <f>IF(ISNUMBER($W78),$W78,0)</f>
        <v/>
      </c>
      <c r="Z78">
        <f>IF(ISNUMBER(SEARCH("Adjustment",$C78)),"excluded",IF($H78="Behind the Meter","excluded",IF(NOT(OR($E78="Bundled",$E78="Energy")),"excluded",IF(OR($H78="Retail Power Marketer",$H78="Community Choice Aggregator",$E78="Energy"),"procurement",IF(OR($H78="Municipal",$H78="Cooperative",$H78="Federal",$H78="State",$H78="Political Subdivision"),"cost_service",IF($H78="Investor Owned",IF(AND(COUNTIF(Parameters!$A$4:$A$33,$G78)&gt;0,COUNTIF(Parameters!$B$4:$B$33,$B78)=0),"procurement","cost_service"),"unclassified"))))))</f>
        <v/>
      </c>
    </row>
    <row r="79">
      <c r="A79" t="n">
        <v>2024</v>
      </c>
      <c r="B79" t="n">
        <v>60025</v>
      </c>
      <c r="C79" t="inlineStr">
        <is>
          <t>Greenbacker Renewable Energy Corporation</t>
        </is>
      </c>
      <c r="D79" t="inlineStr">
        <is>
          <t>A</t>
        </is>
      </c>
      <c r="E79" t="inlineStr">
        <is>
          <t>Bundled</t>
        </is>
      </c>
      <c r="F79" t="inlineStr">
        <is>
          <t>O</t>
        </is>
      </c>
      <c r="G79" t="inlineStr">
        <is>
          <t>MA</t>
        </is>
      </c>
      <c r="H79" t="inlineStr">
        <is>
          <t>Behind the Meter</t>
        </is>
      </c>
      <c r="I79" t="inlineStr">
        <is>
          <t>ISNE</t>
        </is>
      </c>
      <c r="J79" t="n">
        <v>0</v>
      </c>
      <c r="K79" t="n">
        <v>0</v>
      </c>
      <c r="L79" t="n">
        <v>0</v>
      </c>
      <c r="M79" t="n">
        <v>2268</v>
      </c>
      <c r="N79" t="n">
        <v>16327</v>
      </c>
      <c r="O79" t="n">
        <v>20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2268</v>
      </c>
      <c r="W79" t="n">
        <v>16327</v>
      </c>
      <c r="X79" t="n">
        <v>20</v>
      </c>
      <c r="Y79">
        <f>IF(ISNUMBER($W79),$W79,0)</f>
        <v/>
      </c>
      <c r="Z79">
        <f>IF(ISNUMBER(SEARCH("Adjustment",$C79)),"excluded",IF($H79="Behind the Meter","excluded",IF(NOT(OR($E79="Bundled",$E79="Energy")),"excluded",IF(OR($H79="Retail Power Marketer",$H79="Community Choice Aggregator",$E79="Energy"),"procurement",IF(OR($H79="Municipal",$H79="Cooperative",$H79="Federal",$H79="State",$H79="Political Subdivision"),"cost_service",IF($H79="Investor Owned",IF(AND(COUNTIF(Parameters!$A$4:$A$33,$G79)&gt;0,COUNTIF(Parameters!$B$4:$B$33,$B79)=0),"procurement","cost_service"),"unclassified"))))))</f>
        <v/>
      </c>
    </row>
    <row r="80">
      <c r="A80" t="n">
        <v>2024</v>
      </c>
      <c r="B80" t="n">
        <v>60583</v>
      </c>
      <c r="C80" t="inlineStr">
        <is>
          <t>Atlantic Energy LLC</t>
        </is>
      </c>
      <c r="D80" t="inlineStr">
        <is>
          <t>B</t>
        </is>
      </c>
      <c r="E80" t="inlineStr">
        <is>
          <t>Energy</t>
        </is>
      </c>
      <c r="F80" t="inlineStr">
        <is>
          <t>O</t>
        </is>
      </c>
      <c r="G80" t="inlineStr">
        <is>
          <t>MA</t>
        </is>
      </c>
      <c r="H80" t="inlineStr">
        <is>
          <t>Retail Power Marketer</t>
        </is>
      </c>
      <c r="I80" t="inlineStr">
        <is>
          <t>ISNE</t>
        </is>
      </c>
      <c r="J80" t="n">
        <v>8439.4</v>
      </c>
      <c r="K80" t="n">
        <v>26373</v>
      </c>
      <c r="L80" t="n">
        <v>4814</v>
      </c>
      <c r="M80" t="n">
        <v>3197.2</v>
      </c>
      <c r="N80" t="n">
        <v>8828</v>
      </c>
      <c r="O80" t="n">
        <v>219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11636.6</v>
      </c>
      <c r="W80" t="n">
        <v>35201</v>
      </c>
      <c r="X80" t="n">
        <v>5033</v>
      </c>
      <c r="Y80">
        <f>IF(ISNUMBER($W80),$W80,0)</f>
        <v/>
      </c>
      <c r="Z80">
        <f>IF(ISNUMBER(SEARCH("Adjustment",$C80)),"excluded",IF($H80="Behind the Meter","excluded",IF(NOT(OR($E80="Bundled",$E80="Energy")),"excluded",IF(OR($H80="Retail Power Marketer",$H80="Community Choice Aggregator",$E80="Energy"),"procurement",IF(OR($H80="Municipal",$H80="Cooperative",$H80="Federal",$H80="State",$H80="Political Subdivision"),"cost_service",IF($H80="Investor Owned",IF(AND(COUNTIF(Parameters!$A$4:$A$33,$G80)&gt;0,COUNTIF(Parameters!$B$4:$B$33,$B80)=0),"procurement","cost_service"),"unclassified"))))))</f>
        <v/>
      </c>
    </row>
    <row r="81">
      <c r="A81" t="n">
        <v>2024</v>
      </c>
      <c r="B81" t="n">
        <v>60981</v>
      </c>
      <c r="C81" t="inlineStr">
        <is>
          <t>TerraForm US Energy Services, LLC</t>
        </is>
      </c>
      <c r="D81" t="inlineStr">
        <is>
          <t>A</t>
        </is>
      </c>
      <c r="E81" t="inlineStr">
        <is>
          <t>Bundled</t>
        </is>
      </c>
      <c r="F81" t="inlineStr">
        <is>
          <t>O</t>
        </is>
      </c>
      <c r="G81" t="inlineStr">
        <is>
          <t>MA</t>
        </is>
      </c>
      <c r="H81" t="inlineStr">
        <is>
          <t>Behind the Meter</t>
        </is>
      </c>
      <c r="I81" t="inlineStr">
        <is>
          <t>ISNE</t>
        </is>
      </c>
      <c r="J81" t="n">
        <v>0</v>
      </c>
      <c r="K81" t="n">
        <v>0</v>
      </c>
      <c r="L81" t="n">
        <v>0</v>
      </c>
      <c r="M81" t="n">
        <v>1891</v>
      </c>
      <c r="N81" t="n">
        <v>17612</v>
      </c>
      <c r="O81" t="n">
        <v>24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1891</v>
      </c>
      <c r="W81" t="n">
        <v>17612</v>
      </c>
      <c r="X81" t="n">
        <v>24</v>
      </c>
      <c r="Y81">
        <f>IF(ISNUMBER($W81),$W81,0)</f>
        <v/>
      </c>
      <c r="Z81">
        <f>IF(ISNUMBER(SEARCH("Adjustment",$C81)),"excluded",IF($H81="Behind the Meter","excluded",IF(NOT(OR($E81="Bundled",$E81="Energy")),"excluded",IF(OR($H81="Retail Power Marketer",$H81="Community Choice Aggregator",$E81="Energy"),"procurement",IF(OR($H81="Municipal",$H81="Cooperative",$H81="Federal",$H81="State",$H81="Political Subdivision"),"cost_service",IF($H81="Investor Owned",IF(AND(COUNTIF(Parameters!$A$4:$A$33,$G81)&gt;0,COUNTIF(Parameters!$B$4:$B$33,$B81)=0),"procurement","cost_service"),"unclassified"))))))</f>
        <v/>
      </c>
    </row>
    <row r="82">
      <c r="A82" t="n">
        <v>2024</v>
      </c>
      <c r="B82" t="n">
        <v>61059</v>
      </c>
      <c r="C82" t="inlineStr">
        <is>
          <t>Renaissance Power &amp; Gas, Inc.</t>
        </is>
      </c>
      <c r="D82" t="inlineStr">
        <is>
          <t>B</t>
        </is>
      </c>
      <c r="E82" t="inlineStr">
        <is>
          <t>Energy</t>
        </is>
      </c>
      <c r="F82" t="inlineStr">
        <is>
          <t>O</t>
        </is>
      </c>
      <c r="G82" t="inlineStr">
        <is>
          <t>MA</t>
        </is>
      </c>
      <c r="H82" t="inlineStr">
        <is>
          <t>Retail Power Marketer</t>
        </is>
      </c>
      <c r="I82" t="inlineStr">
        <is>
          <t>ISNE</t>
        </is>
      </c>
      <c r="J82" t="n">
        <v>4447.9</v>
      </c>
      <c r="K82" t="n">
        <v>30190</v>
      </c>
      <c r="L82" t="n">
        <v>4828</v>
      </c>
      <c r="M82" t="n">
        <v>729.2</v>
      </c>
      <c r="N82" t="n">
        <v>4612</v>
      </c>
      <c r="O82" t="n">
        <v>203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5177.1</v>
      </c>
      <c r="W82" t="n">
        <v>34802</v>
      </c>
      <c r="X82" t="n">
        <v>5031</v>
      </c>
      <c r="Y82">
        <f>IF(ISNUMBER($W82),$W82,0)</f>
        <v/>
      </c>
      <c r="Z82">
        <f>IF(ISNUMBER(SEARCH("Adjustment",$C82)),"excluded",IF($H82="Behind the Meter","excluded",IF(NOT(OR($E82="Bundled",$E82="Energy")),"excluded",IF(OR($H82="Retail Power Marketer",$H82="Community Choice Aggregator",$E82="Energy"),"procurement",IF(OR($H82="Municipal",$H82="Cooperative",$H82="Federal",$H82="State",$H82="Political Subdivision"),"cost_service",IF($H82="Investor Owned",IF(AND(COUNTIF(Parameters!$A$4:$A$33,$G82)&gt;0,COUNTIF(Parameters!$B$4:$B$33,$B82)=0),"procurement","cost_service"),"unclassified"))))))</f>
        <v/>
      </c>
    </row>
    <row r="83">
      <c r="A83" t="n">
        <v>2024</v>
      </c>
      <c r="B83" t="n">
        <v>61200</v>
      </c>
      <c r="C83" t="inlineStr">
        <is>
          <t>Summer Energy Northeast, LLC</t>
        </is>
      </c>
      <c r="D83" t="inlineStr">
        <is>
          <t>B</t>
        </is>
      </c>
      <c r="E83" t="inlineStr">
        <is>
          <t>Energy</t>
        </is>
      </c>
      <c r="F83" t="inlineStr">
        <is>
          <t>O</t>
        </is>
      </c>
      <c r="G83" t="inlineStr">
        <is>
          <t>MA</t>
        </is>
      </c>
      <c r="H83" t="inlineStr">
        <is>
          <t>Retail Power Marketer</t>
        </is>
      </c>
      <c r="I83" t="inlineStr">
        <is>
          <t>ISNE</t>
        </is>
      </c>
      <c r="J83" t="n">
        <v>465</v>
      </c>
      <c r="K83" t="n">
        <v>893</v>
      </c>
      <c r="L83" t="n">
        <v>174</v>
      </c>
      <c r="M83" t="n">
        <v>318</v>
      </c>
      <c r="N83" t="n">
        <v>583</v>
      </c>
      <c r="O83" t="n">
        <v>60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783</v>
      </c>
      <c r="W83" t="n">
        <v>1476</v>
      </c>
      <c r="X83" t="n">
        <v>234</v>
      </c>
      <c r="Y83">
        <f>IF(ISNUMBER($W83),$W83,0)</f>
        <v/>
      </c>
      <c r="Z83">
        <f>IF(ISNUMBER(SEARCH("Adjustment",$C83)),"excluded",IF($H83="Behind the Meter","excluded",IF(NOT(OR($E83="Bundled",$E83="Energy")),"excluded",IF(OR($H83="Retail Power Marketer",$H83="Community Choice Aggregator",$E83="Energy"),"procurement",IF(OR($H83="Municipal",$H83="Cooperative",$H83="Federal",$H83="State",$H83="Political Subdivision"),"cost_service",IF($H83="Investor Owned",IF(AND(COUNTIF(Parameters!$A$4:$A$33,$G83)&gt;0,COUNTIF(Parameters!$B$4:$B$33,$B83)=0),"procurement","cost_service"),"unclassified"))))))</f>
        <v/>
      </c>
    </row>
    <row r="84">
      <c r="A84" t="n">
        <v>2024</v>
      </c>
      <c r="B84" t="n">
        <v>61823</v>
      </c>
      <c r="C84" t="inlineStr">
        <is>
          <t>Greenskies Renewable Energy, LLC</t>
        </is>
      </c>
      <c r="D84" t="inlineStr">
        <is>
          <t>A</t>
        </is>
      </c>
      <c r="E84" t="inlineStr">
        <is>
          <t>Bundled</t>
        </is>
      </c>
      <c r="F84" t="inlineStr">
        <is>
          <t>O</t>
        </is>
      </c>
      <c r="G84" t="inlineStr">
        <is>
          <t>MA</t>
        </is>
      </c>
      <c r="H84" t="inlineStr">
        <is>
          <t>Behind the Meter</t>
        </is>
      </c>
      <c r="I84" t="inlineStr">
        <is>
          <t>ISNE</t>
        </is>
      </c>
      <c r="J84" t="inlineStr">
        <is>
          <t>.</t>
        </is>
      </c>
      <c r="K84" t="inlineStr">
        <is>
          <t>.</t>
        </is>
      </c>
      <c r="L84" t="inlineStr">
        <is>
          <t>.</t>
        </is>
      </c>
      <c r="M84" t="n">
        <v>2253.5</v>
      </c>
      <c r="N84" t="n">
        <v>28912</v>
      </c>
      <c r="O84" t="n">
        <v>2</v>
      </c>
      <c r="P84" t="inlineStr">
        <is>
          <t>.</t>
        </is>
      </c>
      <c r="Q84" t="inlineStr">
        <is>
          <t>.</t>
        </is>
      </c>
      <c r="R84" t="inlineStr">
        <is>
          <t>.</t>
        </is>
      </c>
      <c r="S84" t="inlineStr">
        <is>
          <t>.</t>
        </is>
      </c>
      <c r="T84" t="inlineStr">
        <is>
          <t>.</t>
        </is>
      </c>
      <c r="U84" t="inlineStr">
        <is>
          <t>.</t>
        </is>
      </c>
      <c r="V84" t="n">
        <v>2253.5</v>
      </c>
      <c r="W84" t="n">
        <v>28912</v>
      </c>
      <c r="X84" t="n">
        <v>2</v>
      </c>
      <c r="Y84">
        <f>IF(ISNUMBER($W84),$W84,0)</f>
        <v/>
      </c>
      <c r="Z84">
        <f>IF(ISNUMBER(SEARCH("Adjustment",$C84)),"excluded",IF($H84="Behind the Meter","excluded",IF(NOT(OR($E84="Bundled",$E84="Energy")),"excluded",IF(OR($H84="Retail Power Marketer",$H84="Community Choice Aggregator",$E84="Energy"),"procurement",IF(OR($H84="Municipal",$H84="Cooperative",$H84="Federal",$H84="State",$H84="Political Subdivision"),"cost_service",IF($H84="Investor Owned",IF(AND(COUNTIF(Parameters!$A$4:$A$33,$G84)&gt;0,COUNTIF(Parameters!$B$4:$B$33,$B84)=0),"procurement","cost_service"),"unclassified"))))))</f>
        <v/>
      </c>
    </row>
    <row r="85">
      <c r="A85" t="n">
        <v>2024</v>
      </c>
      <c r="B85" t="n">
        <v>63232</v>
      </c>
      <c r="C85" t="inlineStr">
        <is>
          <t>National Gas &amp; Electric, LLC</t>
        </is>
      </c>
      <c r="D85" t="inlineStr">
        <is>
          <t>B</t>
        </is>
      </c>
      <c r="E85" t="inlineStr">
        <is>
          <t>Energy</t>
        </is>
      </c>
      <c r="F85" t="inlineStr">
        <is>
          <t>O</t>
        </is>
      </c>
      <c r="G85" t="inlineStr">
        <is>
          <t>MA</t>
        </is>
      </c>
      <c r="H85" t="inlineStr">
        <is>
          <t>Retail Power Marketer</t>
        </is>
      </c>
      <c r="I85" t="inlineStr">
        <is>
          <t>ISNE</t>
        </is>
      </c>
      <c r="J85" t="n">
        <v>10778.2</v>
      </c>
      <c r="K85" t="n">
        <v>53722</v>
      </c>
      <c r="L85" t="n">
        <v>8269</v>
      </c>
      <c r="M85" t="n">
        <v>719.1</v>
      </c>
      <c r="N85" t="n">
        <v>5017</v>
      </c>
      <c r="O85" t="n">
        <v>103</v>
      </c>
      <c r="P85" t="n">
        <v>140</v>
      </c>
      <c r="Q85" t="n">
        <v>1078</v>
      </c>
      <c r="R85" t="n">
        <v>1</v>
      </c>
      <c r="S85" t="n">
        <v>0</v>
      </c>
      <c r="T85" t="n">
        <v>0</v>
      </c>
      <c r="U85" t="n">
        <v>0</v>
      </c>
      <c r="V85" t="n">
        <v>11637.3</v>
      </c>
      <c r="W85" t="n">
        <v>59817</v>
      </c>
      <c r="X85" t="n">
        <v>8373</v>
      </c>
      <c r="Y85">
        <f>IF(ISNUMBER($W85),$W85,0)</f>
        <v/>
      </c>
      <c r="Z85">
        <f>IF(ISNUMBER(SEARCH("Adjustment",$C85)),"excluded",IF($H85="Behind the Meter","excluded",IF(NOT(OR($E85="Bundled",$E85="Energy")),"excluded",IF(OR($H85="Retail Power Marketer",$H85="Community Choice Aggregator",$E85="Energy"),"procurement",IF(OR($H85="Municipal",$H85="Cooperative",$H85="Federal",$H85="State",$H85="Political Subdivision"),"cost_service",IF($H85="Investor Owned",IF(AND(COUNTIF(Parameters!$A$4:$A$33,$G85)&gt;0,COUNTIF(Parameters!$B$4:$B$33,$B85)=0),"procurement","cost_service"),"unclassified"))))))</f>
        <v/>
      </c>
    </row>
    <row r="86">
      <c r="A86" t="n">
        <v>2024</v>
      </c>
      <c r="B86" t="n">
        <v>63356</v>
      </c>
      <c r="C86" t="inlineStr">
        <is>
          <t>SmartestEnergy US LLC</t>
        </is>
      </c>
      <c r="D86" t="inlineStr">
        <is>
          <t>B</t>
        </is>
      </c>
      <c r="E86" t="inlineStr">
        <is>
          <t>Energy</t>
        </is>
      </c>
      <c r="F86" t="inlineStr">
        <is>
          <t>O</t>
        </is>
      </c>
      <c r="G86" t="inlineStr">
        <is>
          <t>MA</t>
        </is>
      </c>
      <c r="H86" t="inlineStr">
        <is>
          <t>Retail Power Marketer</t>
        </is>
      </c>
      <c r="I86" t="inlineStr">
        <is>
          <t>ISNE</t>
        </is>
      </c>
      <c r="J86" t="n">
        <v>0</v>
      </c>
      <c r="K86" t="n">
        <v>0</v>
      </c>
      <c r="L86" t="n">
        <v>0</v>
      </c>
      <c r="M86" t="n">
        <v>5068</v>
      </c>
      <c r="N86" t="n">
        <v>37719</v>
      </c>
      <c r="O86" t="n">
        <v>30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5068</v>
      </c>
      <c r="W86" t="n">
        <v>37719</v>
      </c>
      <c r="X86" t="n">
        <v>30</v>
      </c>
      <c r="Y86">
        <f>IF(ISNUMBER($W86),$W86,0)</f>
        <v/>
      </c>
      <c r="Z86">
        <f>IF(ISNUMBER(SEARCH("Adjustment",$C86)),"excluded",IF($H86="Behind the Meter","excluded",IF(NOT(OR($E86="Bundled",$E86="Energy")),"excluded",IF(OR($H86="Retail Power Marketer",$H86="Community Choice Aggregator",$E86="Energy"),"procurement",IF(OR($H86="Municipal",$H86="Cooperative",$H86="Federal",$H86="State",$H86="Political Subdivision"),"cost_service",IF($H86="Investor Owned",IF(AND(COUNTIF(Parameters!$A$4:$A$33,$G86)&gt;0,COUNTIF(Parameters!$B$4:$B$33,$B86)=0),"procurement","cost_service"),"unclassified"))))))</f>
        <v/>
      </c>
    </row>
    <row r="87">
      <c r="A87" t="n">
        <v>2024</v>
      </c>
      <c r="B87" t="n">
        <v>64222</v>
      </c>
      <c r="C87" t="inlineStr">
        <is>
          <t>Grid Power Direct, LLC</t>
        </is>
      </c>
      <c r="D87" t="inlineStr">
        <is>
          <t>B</t>
        </is>
      </c>
      <c r="E87" t="inlineStr">
        <is>
          <t>Energy</t>
        </is>
      </c>
      <c r="F87" t="inlineStr">
        <is>
          <t>O</t>
        </is>
      </c>
      <c r="G87" t="inlineStr">
        <is>
          <t>MA</t>
        </is>
      </c>
      <c r="H87" t="inlineStr">
        <is>
          <t>Retail Power Marketer</t>
        </is>
      </c>
      <c r="I87" t="inlineStr">
        <is>
          <t>ISNE</t>
        </is>
      </c>
      <c r="J87" t="n">
        <v>0</v>
      </c>
      <c r="K87" t="n">
        <v>0</v>
      </c>
      <c r="L87" t="n">
        <v>0</v>
      </c>
      <c r="M87" t="n">
        <v>2822</v>
      </c>
      <c r="N87" t="n">
        <v>18665</v>
      </c>
      <c r="O87" t="n">
        <v>7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2822</v>
      </c>
      <c r="W87" t="n">
        <v>18665</v>
      </c>
      <c r="X87" t="n">
        <v>7</v>
      </c>
      <c r="Y87">
        <f>IF(ISNUMBER($W87),$W87,0)</f>
        <v/>
      </c>
      <c r="Z87">
        <f>IF(ISNUMBER(SEARCH("Adjustment",$C87)),"excluded",IF($H87="Behind the Meter","excluded",IF(NOT(OR($E87="Bundled",$E87="Energy")),"excluded",IF(OR($H87="Retail Power Marketer",$H87="Community Choice Aggregator",$E87="Energy"),"procurement",IF(OR($H87="Municipal",$H87="Cooperative",$H87="Federal",$H87="State",$H87="Political Subdivision"),"cost_service",IF($H87="Investor Owned",IF(AND(COUNTIF(Parameters!$A$4:$A$33,$G87)&gt;0,COUNTIF(Parameters!$B$4:$B$33,$B87)=0),"procurement","cost_service"),"unclassified"))))))</f>
        <v/>
      </c>
    </row>
    <row r="88">
      <c r="A88" t="n">
        <v>2024</v>
      </c>
      <c r="B88" t="n">
        <v>64314</v>
      </c>
      <c r="C88" t="inlineStr">
        <is>
          <t>BP Energy Retail LLC</t>
        </is>
      </c>
      <c r="D88" t="inlineStr">
        <is>
          <t>B</t>
        </is>
      </c>
      <c r="E88" t="inlineStr">
        <is>
          <t>Energy</t>
        </is>
      </c>
      <c r="F88" t="inlineStr">
        <is>
          <t>O</t>
        </is>
      </c>
      <c r="G88" t="inlineStr">
        <is>
          <t>MA</t>
        </is>
      </c>
      <c r="H88" t="inlineStr">
        <is>
          <t>Retail Power Marketer</t>
        </is>
      </c>
      <c r="I88" t="inlineStr">
        <is>
          <t>ISNE</t>
        </is>
      </c>
      <c r="J88" t="n">
        <v>0</v>
      </c>
      <c r="K88" t="n">
        <v>0</v>
      </c>
      <c r="L88" t="n">
        <v>0</v>
      </c>
      <c r="M88" t="n">
        <v>220264</v>
      </c>
      <c r="N88" t="n">
        <v>2070577</v>
      </c>
      <c r="O88" t="n">
        <v>233</v>
      </c>
      <c r="P88" t="n">
        <v>51001</v>
      </c>
      <c r="Q88" t="n">
        <v>479413</v>
      </c>
      <c r="R88" t="n">
        <v>66</v>
      </c>
      <c r="S88" t="n">
        <v>0</v>
      </c>
      <c r="T88" t="n">
        <v>0</v>
      </c>
      <c r="U88" t="n">
        <v>0</v>
      </c>
      <c r="V88" t="n">
        <v>271265</v>
      </c>
      <c r="W88" t="n">
        <v>2549990</v>
      </c>
      <c r="X88" t="n">
        <v>299</v>
      </c>
      <c r="Y88">
        <f>IF(ISNUMBER($W88),$W88,0)</f>
        <v/>
      </c>
      <c r="Z88">
        <f>IF(ISNUMBER(SEARCH("Adjustment",$C88)),"excluded",IF($H88="Behind the Meter","excluded",IF(NOT(OR($E88="Bundled",$E88="Energy")),"excluded",IF(OR($H88="Retail Power Marketer",$H88="Community Choice Aggregator",$E88="Energy"),"procurement",IF(OR($H88="Municipal",$H88="Cooperative",$H88="Federal",$H88="State",$H88="Political Subdivision"),"cost_service",IF($H88="Investor Owned",IF(AND(COUNTIF(Parameters!$A$4:$A$33,$G88)&gt;0,COUNTIF(Parameters!$B$4:$B$33,$B88)=0),"procurement","cost_service"),"unclassified"))))))</f>
        <v/>
      </c>
    </row>
    <row r="89">
      <c r="A89" t="n">
        <v>2024</v>
      </c>
      <c r="B89" t="n">
        <v>65310</v>
      </c>
      <c r="C89" t="inlineStr">
        <is>
          <t>Energywell LLC</t>
        </is>
      </c>
      <c r="D89" t="inlineStr">
        <is>
          <t>B</t>
        </is>
      </c>
      <c r="E89" t="inlineStr">
        <is>
          <t>Energy</t>
        </is>
      </c>
      <c r="F89" t="inlineStr">
        <is>
          <t>O</t>
        </is>
      </c>
      <c r="G89" t="inlineStr">
        <is>
          <t>MA</t>
        </is>
      </c>
      <c r="H89" t="inlineStr">
        <is>
          <t>Retail Power Marketer</t>
        </is>
      </c>
      <c r="I89" t="inlineStr">
        <is>
          <t>ISNE</t>
        </is>
      </c>
      <c r="J89" t="n">
        <v>6094.1</v>
      </c>
      <c r="K89" t="n">
        <v>40593</v>
      </c>
      <c r="L89" t="n">
        <v>5108</v>
      </c>
      <c r="M89" t="n">
        <v>2082.8</v>
      </c>
      <c r="N89" t="n">
        <v>13469</v>
      </c>
      <c r="O89" t="n">
        <v>627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8176.9</v>
      </c>
      <c r="W89" t="n">
        <v>54062</v>
      </c>
      <c r="X89" t="n">
        <v>5735</v>
      </c>
      <c r="Y89">
        <f>IF(ISNUMBER($W89),$W89,0)</f>
        <v/>
      </c>
      <c r="Z89">
        <f>IF(ISNUMBER(SEARCH("Adjustment",$C89)),"excluded",IF($H89="Behind the Meter","excluded",IF(NOT(OR($E89="Bundled",$E89="Energy")),"excluded",IF(OR($H89="Retail Power Marketer",$H89="Community Choice Aggregator",$E89="Energy"),"procurement",IF(OR($H89="Municipal",$H89="Cooperative",$H89="Federal",$H89="State",$H89="Political Subdivision"),"cost_service",IF($H89="Investor Owned",IF(AND(COUNTIF(Parameters!$A$4:$A$33,$G89)&gt;0,COUNTIF(Parameters!$B$4:$B$33,$B89)=0),"procurement","cost_service"),"unclassified"))))))</f>
        <v/>
      </c>
    </row>
    <row r="90">
      <c r="A90" t="n">
        <v>2024</v>
      </c>
      <c r="B90" t="n">
        <v>66026</v>
      </c>
      <c r="C90" t="inlineStr">
        <is>
          <t>Palmetto Solar, LLC</t>
        </is>
      </c>
      <c r="D90" t="inlineStr">
        <is>
          <t>A</t>
        </is>
      </c>
      <c r="E90" t="inlineStr">
        <is>
          <t>Bundled</t>
        </is>
      </c>
      <c r="F90" t="inlineStr">
        <is>
          <t>O</t>
        </is>
      </c>
      <c r="G90" t="inlineStr">
        <is>
          <t>MA</t>
        </is>
      </c>
      <c r="H90" t="inlineStr">
        <is>
          <t>Behind the Meter</t>
        </is>
      </c>
      <c r="I90" t="inlineStr">
        <is>
          <t>ISNE</t>
        </is>
      </c>
      <c r="J90" t="n">
        <v>612.4</v>
      </c>
      <c r="K90" t="n">
        <v>3020</v>
      </c>
      <c r="L90" t="n">
        <v>52</v>
      </c>
      <c r="M90" t="inlineStr">
        <is>
          <t>.</t>
        </is>
      </c>
      <c r="N90" t="inlineStr">
        <is>
          <t>.</t>
        </is>
      </c>
      <c r="O90" t="inlineStr">
        <is>
          <t>.</t>
        </is>
      </c>
      <c r="P90" t="inlineStr">
        <is>
          <t>.</t>
        </is>
      </c>
      <c r="Q90" t="inlineStr">
        <is>
          <t>.</t>
        </is>
      </c>
      <c r="R90" t="inlineStr">
        <is>
          <t>.</t>
        </is>
      </c>
      <c r="S90" t="inlineStr">
        <is>
          <t>.</t>
        </is>
      </c>
      <c r="T90" t="inlineStr">
        <is>
          <t>.</t>
        </is>
      </c>
      <c r="U90" t="inlineStr">
        <is>
          <t>.</t>
        </is>
      </c>
      <c r="V90" t="n">
        <v>612.4</v>
      </c>
      <c r="W90" t="n">
        <v>3020</v>
      </c>
      <c r="X90" t="n">
        <v>52</v>
      </c>
      <c r="Y90">
        <f>IF(ISNUMBER($W90),$W90,0)</f>
        <v/>
      </c>
      <c r="Z90">
        <f>IF(ISNUMBER(SEARCH("Adjustment",$C90)),"excluded",IF($H90="Behind the Meter","excluded",IF(NOT(OR($E90="Bundled",$E90="Energy")),"excluded",IF(OR($H90="Retail Power Marketer",$H90="Community Choice Aggregator",$E90="Energy"),"procurement",IF(OR($H90="Municipal",$H90="Cooperative",$H90="Federal",$H90="State",$H90="Political Subdivision"),"cost_service",IF($H90="Investor Owned",IF(AND(COUNTIF(Parameters!$A$4:$A$33,$G90)&gt;0,COUNTIF(Parameters!$B$4:$B$33,$B90)=0),"procurement","cost_service"),"unclassified"))))))</f>
        <v/>
      </c>
    </row>
    <row r="91">
      <c r="A91" t="n">
        <v>2024</v>
      </c>
      <c r="B91" t="n">
        <v>66036</v>
      </c>
      <c r="C91" t="inlineStr">
        <is>
          <t>EverBright, LLC</t>
        </is>
      </c>
      <c r="D91" t="inlineStr">
        <is>
          <t>A</t>
        </is>
      </c>
      <c r="E91" t="inlineStr">
        <is>
          <t>Bundled</t>
        </is>
      </c>
      <c r="F91" t="inlineStr">
        <is>
          <t>O</t>
        </is>
      </c>
      <c r="G91" t="inlineStr">
        <is>
          <t>MA</t>
        </is>
      </c>
      <c r="H91" t="inlineStr">
        <is>
          <t>Behind the Meter</t>
        </is>
      </c>
      <c r="I91" t="inlineStr">
        <is>
          <t>ISNE</t>
        </is>
      </c>
      <c r="J91" t="n">
        <v>2312.2</v>
      </c>
      <c r="K91" t="n">
        <v>10964</v>
      </c>
      <c r="L91" t="n">
        <v>1401</v>
      </c>
      <c r="M91" t="inlineStr">
        <is>
          <t>.</t>
        </is>
      </c>
      <c r="N91" t="inlineStr">
        <is>
          <t>.</t>
        </is>
      </c>
      <c r="O91" t="inlineStr">
        <is>
          <t>.</t>
        </is>
      </c>
      <c r="P91" t="inlineStr">
        <is>
          <t>.</t>
        </is>
      </c>
      <c r="Q91" t="inlineStr">
        <is>
          <t>.</t>
        </is>
      </c>
      <c r="R91" t="inlineStr">
        <is>
          <t>.</t>
        </is>
      </c>
      <c r="S91" t="inlineStr">
        <is>
          <t>.</t>
        </is>
      </c>
      <c r="T91" t="inlineStr">
        <is>
          <t>.</t>
        </is>
      </c>
      <c r="U91" t="inlineStr">
        <is>
          <t>.</t>
        </is>
      </c>
      <c r="V91" t="n">
        <v>2312.2</v>
      </c>
      <c r="W91" t="n">
        <v>10964</v>
      </c>
      <c r="X91" t="n">
        <v>1401</v>
      </c>
      <c r="Y91">
        <f>IF(ISNUMBER($W91),$W91,0)</f>
        <v/>
      </c>
      <c r="Z91">
        <f>IF(ISNUMBER(SEARCH("Adjustment",$C91)),"excluded",IF($H91="Behind the Meter","excluded",IF(NOT(OR($E91="Bundled",$E91="Energy")),"excluded",IF(OR($H91="Retail Power Marketer",$H91="Community Choice Aggregator",$E91="Energy"),"procurement",IF(OR($H91="Municipal",$H91="Cooperative",$H91="Federal",$H91="State",$H91="Political Subdivision"),"cost_service",IF($H91="Investor Owned",IF(AND(COUNTIF(Parameters!$A$4:$A$33,$G91)&gt;0,COUNTIF(Parameters!$B$4:$B$33,$B91)=0),"procurement","cost_service"),"unclassified"))))))</f>
        <v/>
      </c>
    </row>
    <row r="92">
      <c r="A92" t="n">
        <v>2024</v>
      </c>
      <c r="B92" t="n">
        <v>66867</v>
      </c>
      <c r="C92" t="inlineStr">
        <is>
          <t>David Energy Supply LLC</t>
        </is>
      </c>
      <c r="D92" t="inlineStr">
        <is>
          <t>B</t>
        </is>
      </c>
      <c r="E92" t="inlineStr">
        <is>
          <t>Energy</t>
        </is>
      </c>
      <c r="F92" t="inlineStr">
        <is>
          <t>O</t>
        </is>
      </c>
      <c r="G92" t="inlineStr">
        <is>
          <t>MA</t>
        </is>
      </c>
      <c r="H92" t="inlineStr">
        <is>
          <t>Retail Power Marketer</t>
        </is>
      </c>
      <c r="I92" t="inlineStr">
        <is>
          <t>ISNE</t>
        </is>
      </c>
      <c r="J92" t="n">
        <v>0</v>
      </c>
      <c r="K92" t="n">
        <v>0</v>
      </c>
      <c r="L92" t="n">
        <v>0</v>
      </c>
      <c r="M92" t="n">
        <v>369.3</v>
      </c>
      <c r="N92" t="n">
        <v>3060</v>
      </c>
      <c r="O92" t="n">
        <v>36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369.3</v>
      </c>
      <c r="W92" t="n">
        <v>3060</v>
      </c>
      <c r="X92" t="n">
        <v>36</v>
      </c>
      <c r="Y92">
        <f>IF(ISNUMBER($W92),$W92,0)</f>
        <v/>
      </c>
      <c r="Z92">
        <f>IF(ISNUMBER(SEARCH("Adjustment",$C92)),"excluded",IF($H92="Behind the Meter","excluded",IF(NOT(OR($E92="Bundled",$E92="Energy")),"excluded",IF(OR($H92="Retail Power Marketer",$H92="Community Choice Aggregator",$E92="Energy"),"procurement",IF(OR($H92="Municipal",$H92="Cooperative",$H92="Federal",$H92="State",$H92="Political Subdivision"),"cost_service",IF($H92="Investor Owned",IF(AND(COUNTIF(Parameters!$A$4:$A$33,$G92)&gt;0,COUNTIF(Parameters!$B$4:$B$33,$B92)=0),"procurement","cost_service"),"unclassified"))))))</f>
        <v/>
      </c>
    </row>
    <row r="93">
      <c r="A93" t="n">
        <v>2024</v>
      </c>
      <c r="B93" t="n">
        <v>99999</v>
      </c>
      <c r="C93" t="inlineStr">
        <is>
          <t>Adjustment 2024</t>
        </is>
      </c>
      <c r="D93" t="inlineStr">
        <is>
          <t>A</t>
        </is>
      </c>
      <c r="E93" t="inlineStr">
        <is>
          <t>Bundled</t>
        </is>
      </c>
      <c r="F93" t="inlineStr">
        <is>
          <t>I</t>
        </is>
      </c>
      <c r="G93" t="inlineStr">
        <is>
          <t>MA</t>
        </is>
      </c>
      <c r="H93" t="inlineStr"/>
      <c r="I93" t="inlineStr">
        <is>
          <t>ISNE</t>
        </is>
      </c>
      <c r="J93" t="n">
        <v>185237.8</v>
      </c>
      <c r="K93" t="n">
        <v>960409</v>
      </c>
      <c r="L93" t="n">
        <v>13197</v>
      </c>
      <c r="M93" t="n">
        <v>127858.7</v>
      </c>
      <c r="N93" t="n">
        <v>701424</v>
      </c>
      <c r="O93" t="n">
        <v>15069</v>
      </c>
      <c r="P93" t="n">
        <v>72192.10000000001</v>
      </c>
      <c r="Q93" t="n">
        <v>427388</v>
      </c>
      <c r="R93" t="n">
        <v>1078</v>
      </c>
      <c r="S93" t="n">
        <v>0</v>
      </c>
      <c r="T93" t="n">
        <v>0</v>
      </c>
      <c r="U93" t="n">
        <v>0</v>
      </c>
      <c r="V93" t="n">
        <v>385288.6</v>
      </c>
      <c r="W93" t="n">
        <v>2089221</v>
      </c>
      <c r="X93" t="n">
        <v>29344</v>
      </c>
      <c r="Y93">
        <f>IF(ISNUMBER($W93),$W93,0)</f>
        <v/>
      </c>
      <c r="Z93">
        <f>IF(ISNUMBER(SEARCH("Adjustment",$C93)),"excluded",IF($H93="Behind the Meter","excluded",IF(NOT(OR($E93="Bundled",$E93="Energy")),"excluded",IF(OR($H93="Retail Power Marketer",$H93="Community Choice Aggregator",$E93="Energy"),"procurement",IF(OR($H93="Municipal",$H93="Cooperative",$H93="Federal",$H93="State",$H93="Political Subdivision"),"cost_service",IF($H93="Investor Owned",IF(AND(COUNTIF(Parameters!$A$4:$A$33,$G93)&gt;0,COUNTIF(Parameters!$B$4:$B$33,$B93)=0),"procurement","cost_service"),"unclassified"))))))</f>
        <v/>
      </c>
    </row>
    <row r="94">
      <c r="A94" t="n">
        <v>2024</v>
      </c>
      <c r="B94" t="n">
        <v>99999</v>
      </c>
      <c r="C94" t="inlineStr">
        <is>
          <t>Adjustment 2024</t>
        </is>
      </c>
      <c r="D94" t="inlineStr">
        <is>
          <t>B</t>
        </is>
      </c>
      <c r="E94" t="inlineStr">
        <is>
          <t>Energy</t>
        </is>
      </c>
      <c r="F94" t="inlineStr">
        <is>
          <t>I</t>
        </is>
      </c>
      <c r="G94" t="inlineStr">
        <is>
          <t>MA</t>
        </is>
      </c>
      <c r="H94" t="inlineStr"/>
      <c r="I94" t="inlineStr">
        <is>
          <t>ISNE</t>
        </is>
      </c>
      <c r="J94" t="n">
        <v>-159027</v>
      </c>
      <c r="K94" t="n">
        <v>-1024939</v>
      </c>
      <c r="L94" t="n">
        <v>9763</v>
      </c>
      <c r="M94" t="n">
        <v>208556.8</v>
      </c>
      <c r="N94" t="n">
        <v>1767950</v>
      </c>
      <c r="O94" t="n">
        <v>78466</v>
      </c>
      <c r="P94" t="n">
        <v>-86093.8</v>
      </c>
      <c r="Q94" t="n">
        <v>-737312</v>
      </c>
      <c r="R94" t="n">
        <v>3042</v>
      </c>
      <c r="S94" t="n">
        <v>-8344.299999999999</v>
      </c>
      <c r="T94" t="n">
        <v>-105742</v>
      </c>
      <c r="U94" t="n">
        <v>-2</v>
      </c>
      <c r="V94" t="n">
        <v>-44908.4</v>
      </c>
      <c r="W94" t="n">
        <v>-100043</v>
      </c>
      <c r="X94" t="n">
        <v>91269</v>
      </c>
      <c r="Y94">
        <f>IF(ISNUMBER($W94),$W94,0)</f>
        <v/>
      </c>
      <c r="Z94">
        <f>IF(ISNUMBER(SEARCH("Adjustment",$C94)),"excluded",IF($H94="Behind the Meter","excluded",IF(NOT(OR($E94="Bundled",$E94="Energy")),"excluded",IF(OR($H94="Retail Power Marketer",$H94="Community Choice Aggregator",$E94="Energy"),"procurement",IF(OR($H94="Municipal",$H94="Cooperative",$H94="Federal",$H94="State",$H94="Political Subdivision"),"cost_service",IF($H94="Investor Owned",IF(AND(COUNTIF(Parameters!$A$4:$A$33,$G94)&gt;0,COUNTIF(Parameters!$B$4:$B$33,$B94)=0),"procurement","cost_service"),"unclassified"))))))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MA</t>
        </is>
      </c>
      <c r="B2">
        <f>SUMIFS('EIA-861 Sales 2024'!$Y$4:$Y$94,'EIA-861 Sales 2024'!$Z$4:$Z$94,"cost_service")</f>
        <v/>
      </c>
      <c r="C2">
        <f>SUMIFS('EIA-861 Sales 2024'!$Y$4:$Y$94,'EIA-861 Sales 2024'!$Z$4:$Z$94,"procurement")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2026-06-02T20:15:29Z</dcterms:created>
  <dcterms:modified xmlns:dcterms="http://purl.org/dc/terms/" xmlns:xsi="http://www.w3.org/2001/XMLSchema-instance" xsi:type="dcterms:W3CDTF">2026-06-02T20:15:29Z</dcterms:modified>
</cp:coreProperties>
</file>