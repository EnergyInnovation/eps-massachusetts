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BVS\"/>
    </mc:Choice>
  </mc:AlternateContent>
  <xr:revisionPtr revIDLastSave="0" documentId="8_{E916E33D-972C-43AF-915A-70AA059F6176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Z64" i="2"/>
  <c r="Z69" i="2" s="1"/>
  <c r="Y6" i="5" s="1"/>
  <c r="Y64" i="2"/>
  <c r="Y69" i="2" s="1"/>
  <c r="X6" i="5" s="1"/>
  <c r="X64" i="2"/>
  <c r="X69" i="2" s="1"/>
  <c r="W6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O63" i="2" l="1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<sst xmlns="http://schemas.openxmlformats.org/spreadsheetml/2006/main" count="491" uniqueCount="240">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</sst>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78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MA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2118.2599999999998</v>
      </c>
      <c r="D63" s="5">
        <f>SUMIFS('State EV Rebates'!$D$5:$D$24,'State EV Rebates'!$A$5:$A$24,About!$B$2)*$M$79</f>
        <v>1961.3025</v>
      </c>
      <c r="E63" s="5">
        <f>SUMIFS('State EV Rebates'!$E$5:$E$24,'State EV Rebates'!$A$5:$A$24,About!$B$2)*$N$79</f>
        <v>2637.2605000000003</v>
      </c>
      <c r="F63" s="5">
        <f>SUMIFS('State EV Rebates'!$F$5:$F$24,'State EV Rebates'!$A$5:$A$24,About!$B$2)*$O$79</f>
        <v>2561.7060000000001</v>
      </c>
      <c r="G63" s="5">
        <f>SUMIFS('State EV Rebates'!$G$5:$G$24,'State EV Rebates'!$A$5:$A$24,About!$B$2)*$P$79</f>
        <v>2495.5875000000001</v>
      </c>
      <c r="H63" s="5">
        <f>SUMIFS('State EV Rebates'!$H$5:$H$24,'State EV Rebates'!$A$5:$A$24,About!$B$2)*$Q$79</f>
        <v>2398.0284999999999</v>
      </c>
      <c r="I63" s="5">
        <f>SUMIFS('State EV Rebates'!$I$5:$I$24,'State EV Rebates'!$A$5:$A$24,About!$B$2)*$R$79</f>
        <v>2332.7114999999999</v>
      </c>
      <c r="J63" s="5">
        <f>SUMIFS('State EV Rebates'!$J$5:$J$24,'State EV Rebates'!$A$5:$A$24,About!$B$2)*$S$79</f>
        <v>2269.1689999999999</v>
      </c>
      <c r="K63" s="5">
        <f>SUMIFS('State EV Rebates'!$K$5:$K$24,'State EV Rebates'!$A$5:$A$24,About!$B$2)*$T$79</f>
        <v>2207.3624999999997</v>
      </c>
      <c r="L63" s="5">
        <f>SUMIFS('State EV Rebates'!$L$5:$L$24,'State EV Rebates'!$A$5:$A$24,About!$B$2)*$U$79</f>
        <v>2147.2394999999997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2118.2599999999998</v>
      </c>
      <c r="D64" s="5">
        <f>SUMIFS('State EV Rebates'!$D$28:$D$47,'State EV Rebates'!$A$28:$A$47,About!$B$2)*$M$79</f>
        <v>1961.3025</v>
      </c>
      <c r="E64" s="5">
        <f>SUMIFS('State EV Rebates'!$E$28:$E$47,'State EV Rebates'!$A$28:$A$47,About!$B$2)*$N$79</f>
        <v>1318.6302500000002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3764.7581124797289</v>
      </c>
      <c r="D68" s="5">
        <f t="shared" si="0"/>
        <v>3329.8882570401329</v>
      </c>
      <c r="E68" s="5">
        <f t="shared" si="0"/>
        <v>7433.2241566176635</v>
      </c>
      <c r="F68" s="5">
        <f t="shared" si="0"/>
        <v>6117.1937018516091</v>
      </c>
      <c r="G68" s="5">
        <f t="shared" si="0"/>
        <v>5019.8532550587361</v>
      </c>
      <c r="H68" s="5">
        <f t="shared" si="0"/>
        <v>2398.0284999999999</v>
      </c>
      <c r="I68" s="5">
        <f t="shared" si="0"/>
        <v>2332.7114999999999</v>
      </c>
      <c r="J68" s="5">
        <f t="shared" si="0"/>
        <v>2269.1689999999999</v>
      </c>
      <c r="K68" s="5">
        <f t="shared" si="0"/>
        <v>2207.3624999999997</v>
      </c>
      <c r="L68" s="5">
        <f t="shared" si="0"/>
        <v>2147.2394999999997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8770.9785168992275</v>
      </c>
      <c r="D69" s="5">
        <f t="shared" si="1"/>
        <v>5578.3531929789033</v>
      </c>
      <c r="E69" s="5">
        <f t="shared" si="1"/>
        <v>4799.8285722883338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3764.7581124797289</v>
      </c>
      <c r="C2" s="17">
        <f>'Passenger Vehicle Calculations'!D68</f>
        <v>3329.8882570401329</v>
      </c>
      <c r="D2" s="17">
        <f>'Passenger Vehicle Calculations'!E68</f>
        <v>7433.2241566176635</v>
      </c>
      <c r="E2" s="17">
        <f>'Passenger Vehicle Calculations'!F68</f>
        <v>6117.1937018516091</v>
      </c>
      <c r="F2" s="17">
        <f>'Passenger Vehicle Calculations'!G68</f>
        <v>5019.8532550587361</v>
      </c>
      <c r="G2" s="17">
        <f>'Passenger Vehicle Calculations'!H68</f>
        <v>2398.0284999999999</v>
      </c>
      <c r="H2" s="17">
        <f>'Passenger Vehicle Calculations'!I68</f>
        <v>2332.7114999999999</v>
      </c>
      <c r="I2" s="17">
        <f>'Passenger Vehicle Calculations'!J68</f>
        <v>2269.1689999999999</v>
      </c>
      <c r="J2" s="17">
        <f>'Passenger Vehicle Calculations'!K68</f>
        <v>2207.3624999999997</v>
      </c>
      <c r="K2" s="17">
        <f>'Passenger Vehicle Calculations'!L68</f>
        <v>2147.2394999999997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8770.9785168992275</v>
      </c>
      <c r="C6" s="17">
        <f>'Passenger Vehicle Calculations'!D69</f>
        <v>5578.3531929789033</v>
      </c>
      <c r="D6" s="17">
        <f>'Passenger Vehicle Calculations'!E69</f>
        <v>4799.8285722883338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7433.2241566176635</v>
      </c>
      <c r="E8" s="17">
        <f t="shared" si="0"/>
        <v>6117.1937018516091</v>
      </c>
      <c r="F8" s="17">
        <f t="shared" si="0"/>
        <v>5019.8532550587361</v>
      </c>
      <c r="G8" s="17">
        <f t="shared" si="0"/>
        <v>2398.0284999999999</v>
      </c>
      <c r="H8" s="17">
        <f t="shared" si="0"/>
        <v>2332.7114999999999</v>
      </c>
      <c r="I8" s="17">
        <f t="shared" si="0"/>
        <v>2269.1689999999999</v>
      </c>
      <c r="J8" s="17">
        <f t="shared" si="0"/>
        <v>2207.3624999999997</v>
      </c>
      <c r="K8" s="17">
        <f t="shared" si="0"/>
        <v>2147.2394999999997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2026-09-09T22:14:28Z</dcterms:modified>
</cp:coreProperties>
</file>