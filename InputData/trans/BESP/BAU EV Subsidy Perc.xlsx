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Massachusetts\MA-eps\InputData\trans\BESP\"/>
    </mc:Choice>
  </mc:AlternateContent>
  <xr:revisionPtr revIDLastSave="0" documentId="13_ncr:1_{C892C68A-950D-4EE2-81E8-7421C2C270A8}" xr6:coauthVersionLast="47" xr6:coauthVersionMax="47" xr10:uidLastSave="{00000000-0000-0000-0000-000000000000}"/>
  <bookViews>
    <workbookView xWindow="-90" yWindow="-90" windowWidth="19380" windowHeight="10260" activeTab="5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2" l="1"/>
  <c r="A33" i="2" s="1"/>
  <c r="E2" i="6" s="1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C13" i="3"/>
  <c r="D13" i="3" s="1"/>
  <c r="C83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C7" i="3" s="1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9" i="3" l="1"/>
  <c r="D9" i="3" s="1"/>
  <c r="E9" i="3" s="1"/>
  <c r="C15" i="3"/>
  <c r="D15" i="3" s="1"/>
  <c r="C11" i="3"/>
  <c r="D11" i="3" s="1"/>
  <c r="E11" i="3" s="1"/>
  <c r="D7" i="3"/>
  <c r="E7" i="3" s="1"/>
  <c r="C18" i="3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D18" i="3"/>
  <c r="C88" i="3" s="1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D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B26" i="2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E18" i="3"/>
  <c r="C79" i="3"/>
  <c r="C85" i="3"/>
  <c r="E15" i="3"/>
  <c r="E5" i="3"/>
  <c r="E13" i="3"/>
  <c r="C77" i="3" l="1"/>
  <c r="C81" i="3"/>
  <c r="E12" i="3"/>
  <c r="D82" i="3" s="1"/>
  <c r="E8" i="3"/>
  <c r="D78" i="3" s="1"/>
  <c r="E16" i="3"/>
  <c r="F16" i="3" s="1"/>
  <c r="E10" i="3"/>
  <c r="F10" i="3" s="1"/>
  <c r="C76" i="3"/>
  <c r="C84" i="3"/>
  <c r="E17" i="3"/>
  <c r="F17" i="3" s="1"/>
  <c r="D81" i="3"/>
  <c r="F11" i="3"/>
  <c r="F8" i="3"/>
  <c r="D88" i="3"/>
  <c r="F18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77" i="3"/>
  <c r="F7" i="3"/>
  <c r="D84" i="3"/>
  <c r="F14" i="3"/>
  <c r="C89" i="3"/>
  <c r="E19" i="3"/>
  <c r="D86" i="3" l="1"/>
  <c r="F12" i="3"/>
  <c r="D80" i="3"/>
  <c r="D87" i="3"/>
  <c r="C92" i="3"/>
  <c r="A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G12" i="3"/>
  <c r="E88" i="3"/>
  <c r="G18" i="3"/>
  <c r="E77" i="3"/>
  <c r="G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D2" i="6" l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O92" i="3" s="1"/>
  <c r="M3" i="2" s="1"/>
  <c r="M33" i="2" s="1"/>
  <c r="Q2" i="6" s="1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Q77" i="3" l="1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U92" i="3" s="1"/>
  <c r="S3" i="2" s="1"/>
  <c r="S33" i="2" s="1"/>
  <c r="W2" i="6" s="1"/>
  <c r="W3" i="3"/>
  <c r="V79" i="3"/>
  <c r="X9" i="3"/>
  <c r="V86" i="3"/>
  <c r="X16" i="3"/>
  <c r="V83" i="3"/>
  <c r="X13" i="3"/>
  <c r="T92" i="3"/>
  <c r="R3" i="2" s="1"/>
  <c r="R33" i="2" s="1"/>
  <c r="V2" i="6" s="1"/>
  <c r="W80" i="3" l="1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E3" i="2" l="1"/>
  <c r="AE33" i="2" s="1"/>
  <c r="AI2" i="6" s="1"/>
  <c r="AF3" i="2"/>
  <c r="AF33" i="2" s="1"/>
  <c r="AJ2" i="6" s="1"/>
  <c r="AD33" i="2"/>
  <c r="AH2" i="6" s="1"/>
  <c r="AD3" i="2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<sst xmlns="http://schemas.openxmlformats.org/spreadsheetml/2006/main" count="556" uniqueCount="285">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</sst>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38" fontId="6" fillId="0" borderId="0" xfId="0" applyNumberFormat="1" applyFont="1" applyBorder="1" applyAlignment="1">
      <alignment horizontal="right"/>
    </xf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5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6" fillId="0" borderId="1" xfId="0" applyFont="1"/>
    <xf numFmtId="0" fontId="0" fillId="0" borderId="1" xfId="0"/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Border="1"/>
    <xf numFmtId="0" fontId="0" fillId="0" borderId="7" xfId="0" applyNumberFormat="1" applyBorder="1"/>
    <xf numFmtId="0" fontId="0" fillId="0" borderId="1" xfId="0" applyNumberFormat="1" applyBorder="1"/>
    <xf numFmtId="0" fontId="0" fillId="0" borderId="8" xfId="0" applyNumberFormat="1" applyBorder="1"/>
    <xf numFmtId="0" fontId="0" fillId="0" borderId="9" xfId="0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Border="1"/>
    <xf numFmtId="10" fontId="0" fillId="0" borderId="12" xfId="0" applyNumberFormat="1" applyBorder="1"/>
    <xf numFmtId="10" fontId="0" fillId="0" borderId="13" xfId="0" applyNumberFormat="1" applyBorder="1"/>
    <xf numFmtId="0" fontId="0" fillId="0" borderId="14" xfId="0" applyBorder="1"/>
    <xf numFmtId="1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28.627731712964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640625" defaultRowHeight="15" customHeight="1" x14ac:dyDescent="0.65"/>
  <cols>
    <col min="1" max="1" width="7.6640625" customWidth="1"/>
    <col min="2" max="2" width="62" customWidth="1"/>
    <col min="3" max="26" width="7.6640625" customWidth="1"/>
  </cols>
  <sheetData>
    <row r="1" spans="1:7" ht="14.75" x14ac:dyDescent="0.75">
      <c r="A1" s="1" t="s">
        <v>0</v>
      </c>
      <c r="B1" s="4" t="s">
        <v>58</v>
      </c>
      <c r="C1" s="25">
        <v>44819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MA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7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4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8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opLeftCell="A41" workbookViewId="0">
      <selection activeCell="C51" sqref="C51"/>
    </sheetView>
  </sheetViews>
  <sheetFormatPr defaultColWidth="12.6640625" defaultRowHeight="15" customHeight="1" x14ac:dyDescent="0.65"/>
  <cols>
    <col min="1" max="1" width="10.1640625" customWidth="1"/>
    <col min="2" max="2" width="8.6640625" customWidth="1"/>
    <col min="3" max="3" width="9.5" customWidth="1"/>
    <col min="4" max="34" width="7.6640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7"/>
      <c r="E4" s="26" t="s">
        <v>281</v>
      </c>
    </row>
    <row r="5" spans="1:32" ht="14.75" x14ac:dyDescent="0.75">
      <c r="A5" s="18" t="s">
        <v>129</v>
      </c>
    </row>
    <row r="6" spans="1:32" ht="14.75" x14ac:dyDescent="0.75">
      <c r="A6" s="17" t="s">
        <v>130</v>
      </c>
    </row>
    <row r="7" spans="1:32" ht="14.75" x14ac:dyDescent="0.75">
      <c r="A7" s="17" t="s">
        <v>131</v>
      </c>
    </row>
    <row r="8" spans="1:32" ht="14.75" x14ac:dyDescent="0.75">
      <c r="A8" s="18" t="s">
        <v>132</v>
      </c>
      <c r="B8" s="1" t="s">
        <v>2</v>
      </c>
      <c r="C8" s="1" t="s">
        <v>133</v>
      </c>
    </row>
    <row r="9" spans="1:32" ht="14.75" x14ac:dyDescent="0.75">
      <c r="A9" s="17">
        <v>2500</v>
      </c>
      <c r="B9" s="7" t="s">
        <v>15</v>
      </c>
      <c r="C9" s="7">
        <v>39250017</v>
      </c>
    </row>
    <row r="10" spans="1:32" ht="14.75" x14ac:dyDescent="0.75">
      <c r="A10" s="17">
        <v>5000</v>
      </c>
      <c r="B10" s="7" t="s">
        <v>18</v>
      </c>
      <c r="C10" s="7">
        <v>5540545</v>
      </c>
    </row>
    <row r="11" spans="1:32" ht="14.75" x14ac:dyDescent="0.75">
      <c r="A11" s="17">
        <v>3500</v>
      </c>
      <c r="B11" s="7" t="s">
        <v>23</v>
      </c>
      <c r="C11" s="7">
        <v>952065</v>
      </c>
    </row>
    <row r="12" spans="1:32" ht="14.75" x14ac:dyDescent="0.75">
      <c r="A12" s="19">
        <v>1500</v>
      </c>
      <c r="B12" s="7" t="s">
        <v>50</v>
      </c>
      <c r="C12" s="7">
        <v>4681666</v>
      </c>
    </row>
    <row r="13" spans="1:32" ht="14.75" x14ac:dyDescent="0.75">
      <c r="A13" s="17">
        <v>2500</v>
      </c>
      <c r="B13" s="7" t="s">
        <v>58</v>
      </c>
      <c r="C13" s="7">
        <v>6811779</v>
      </c>
    </row>
    <row r="14" spans="1:32" ht="14.75" x14ac:dyDescent="0.75">
      <c r="A14" s="17">
        <v>1500</v>
      </c>
      <c r="B14" s="7" t="s">
        <v>97</v>
      </c>
      <c r="C14" s="7">
        <v>3923561</v>
      </c>
    </row>
    <row r="15" spans="1:32" ht="14.75" x14ac:dyDescent="0.75">
      <c r="A15" s="17">
        <v>2500</v>
      </c>
      <c r="B15" s="7" t="s">
        <v>104</v>
      </c>
      <c r="C15" s="7">
        <v>1056426</v>
      </c>
    </row>
    <row r="16" spans="1:32" ht="14.75" x14ac:dyDescent="0.75">
      <c r="A16" s="20" t="s">
        <v>134</v>
      </c>
    </row>
    <row r="17" spans="1:34" ht="14.75" x14ac:dyDescent="0.75">
      <c r="A17" s="17"/>
    </row>
    <row r="18" spans="1:34" ht="14.75" x14ac:dyDescent="0.75">
      <c r="B18" s="17" t="s">
        <v>135</v>
      </c>
      <c r="C18" s="7">
        <v>323127513</v>
      </c>
    </row>
    <row r="19" spans="1:34" ht="14.75" x14ac:dyDescent="0.75">
      <c r="A19" s="17"/>
      <c r="B19" s="7" t="s">
        <v>136</v>
      </c>
      <c r="C19" s="7">
        <f>C18-SUM(C9:C15)</f>
        <v>260911454</v>
      </c>
    </row>
    <row r="20" spans="1:34" ht="14.75" x14ac:dyDescent="0.75">
      <c r="A20" s="17"/>
    </row>
    <row r="21" spans="1:34" ht="15.75" customHeight="1" x14ac:dyDescent="0.75">
      <c r="A21" s="17" t="s">
        <v>137</v>
      </c>
      <c r="C21" s="7" t="str">
        <f>About!B2</f>
        <v>MA</v>
      </c>
    </row>
    <row r="22" spans="1:34" ht="15.75" customHeight="1" x14ac:dyDescent="0.75">
      <c r="A22" s="17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7"/>
      <c r="B23" s="7" t="s">
        <v>138</v>
      </c>
      <c r="C23" s="7">
        <f>SUMIFS(C$41:C$54,$A$41:$A$54,$C$21,$B$41:$B$54,$B23)</f>
        <v>2500</v>
      </c>
      <c r="D23" s="9">
        <f t="shared" ref="C23:I24" si="1">SUMIFS(D$41:D$54,$A$41:$A$54,$C$21,$B$41:$B$54,$B23)</f>
        <v>2500</v>
      </c>
      <c r="E23" s="9">
        <f t="shared" si="1"/>
        <v>2500</v>
      </c>
      <c r="F23" s="9">
        <f t="shared" si="1"/>
        <v>2500</v>
      </c>
      <c r="G23" s="9">
        <f t="shared" si="1"/>
        <v>2500</v>
      </c>
      <c r="H23" s="9">
        <f t="shared" si="1"/>
        <v>2500</v>
      </c>
      <c r="I23" s="9">
        <f t="shared" si="1"/>
        <v>2500</v>
      </c>
    </row>
    <row r="24" spans="1:34" ht="15.75" customHeight="1" x14ac:dyDescent="0.75">
      <c r="A24" s="17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7"/>
      <c r="B26" s="17">
        <f>C23*About!A45</f>
        <v>2217.7766787346754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5245.8606136031603</v>
      </c>
      <c r="B33" s="11">
        <f>(B3+C23)</f>
        <v>5245.8606136031594</v>
      </c>
      <c r="C33" s="11">
        <f t="shared" ref="C33:AF33" si="2">(C3+D23)</f>
        <v>5245.8606136031603</v>
      </c>
      <c r="D33" s="11">
        <f t="shared" si="2"/>
        <v>4413.0458308533107</v>
      </c>
      <c r="E33" s="11">
        <f t="shared" si="2"/>
        <v>4031.9111519939402</v>
      </c>
      <c r="F33" s="11">
        <f t="shared" si="2"/>
        <v>3631.4322818029341</v>
      </c>
      <c r="G33" s="11">
        <f t="shared" si="2"/>
        <v>3433.188139169959</v>
      </c>
      <c r="H33" s="11">
        <f t="shared" si="2"/>
        <v>3433.1881391699594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7">
        <v>4750</v>
      </c>
      <c r="D41" s="9">
        <v>4750</v>
      </c>
      <c r="E41" s="7">
        <v>3000</v>
      </c>
      <c r="F41" s="9">
        <v>3000</v>
      </c>
      <c r="G41" s="7">
        <v>2400</v>
      </c>
      <c r="H41" s="9">
        <v>2400</v>
      </c>
      <c r="I41" s="9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9">
        <v>8000</v>
      </c>
      <c r="D42" s="9">
        <v>8000</v>
      </c>
      <c r="E42" s="9">
        <v>5000</v>
      </c>
      <c r="F42" s="9">
        <v>5000</v>
      </c>
      <c r="G42" s="9">
        <v>4000</v>
      </c>
      <c r="H42" s="9">
        <v>4000</v>
      </c>
      <c r="I42" s="9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7">
        <v>2250</v>
      </c>
      <c r="D43" s="7">
        <v>2250</v>
      </c>
      <c r="E43" s="7">
        <v>2250</v>
      </c>
      <c r="F43" s="7">
        <v>2250</v>
      </c>
      <c r="G43" s="7">
        <v>2250</v>
      </c>
      <c r="H43" s="7">
        <v>2250</v>
      </c>
      <c r="I43" s="7">
        <v>2250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7">
        <v>2500</v>
      </c>
      <c r="D44" s="9">
        <v>2500</v>
      </c>
      <c r="E44" s="9">
        <v>2500</v>
      </c>
      <c r="F44" s="9">
        <v>2500</v>
      </c>
      <c r="G44" s="9">
        <v>2500</v>
      </c>
      <c r="H44" s="9">
        <v>2500</v>
      </c>
      <c r="I44" s="9">
        <v>2500</v>
      </c>
    </row>
    <row r="45" spans="1:34" ht="15.75" customHeight="1" x14ac:dyDescent="0.75">
      <c r="A45" s="7" t="s">
        <v>87</v>
      </c>
      <c r="B45" s="21" t="s">
        <v>138</v>
      </c>
      <c r="C45" s="22">
        <v>2000</v>
      </c>
      <c r="D45" s="22">
        <v>2000</v>
      </c>
      <c r="E45" s="22">
        <v>2000</v>
      </c>
      <c r="F45" s="22">
        <v>2000</v>
      </c>
      <c r="G45" s="22">
        <v>2000</v>
      </c>
      <c r="H45" s="22">
        <v>2000</v>
      </c>
      <c r="I45" s="22">
        <v>2000</v>
      </c>
      <c r="J45" s="21" t="s">
        <v>155</v>
      </c>
      <c r="K45" s="21"/>
      <c r="L45" s="12"/>
    </row>
    <row r="46" spans="1:34" ht="15.75" customHeight="1" x14ac:dyDescent="0.75">
      <c r="A46" s="7" t="s">
        <v>113</v>
      </c>
      <c r="B46" s="7" t="s">
        <v>138</v>
      </c>
      <c r="C46" s="7">
        <v>2500</v>
      </c>
      <c r="D46" s="9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7">
        <v>2500</v>
      </c>
      <c r="D47" s="9">
        <v>2500</v>
      </c>
      <c r="E47" s="9">
        <v>2500</v>
      </c>
      <c r="F47" s="9">
        <v>2500</v>
      </c>
      <c r="G47" s="9">
        <v>2500</v>
      </c>
      <c r="H47" s="9">
        <v>2500</v>
      </c>
      <c r="I47" s="9">
        <v>2500</v>
      </c>
    </row>
    <row r="48" spans="1:34" ht="15.75" customHeight="1" x14ac:dyDescent="0.75">
      <c r="A48" s="7" t="s">
        <v>51</v>
      </c>
      <c r="B48" s="7" t="s">
        <v>138</v>
      </c>
      <c r="C48" s="13">
        <v>1500</v>
      </c>
      <c r="D48" s="13">
        <v>1500</v>
      </c>
      <c r="E48" s="13">
        <v>1500</v>
      </c>
      <c r="F48" s="13">
        <v>1500</v>
      </c>
      <c r="G48" s="13">
        <v>1500</v>
      </c>
      <c r="H48" s="13">
        <v>1500</v>
      </c>
      <c r="I48" s="13">
        <v>1500</v>
      </c>
    </row>
    <row r="49" spans="1:10" ht="15.75" customHeight="1" x14ac:dyDescent="0.75">
      <c r="A49" s="7" t="s">
        <v>53</v>
      </c>
      <c r="B49" s="9" t="s">
        <v>138</v>
      </c>
      <c r="C49" s="7">
        <v>2000</v>
      </c>
      <c r="D49" s="9">
        <v>2000</v>
      </c>
      <c r="E49" s="9">
        <v>2000</v>
      </c>
      <c r="F49" s="9">
        <v>2000</v>
      </c>
      <c r="G49" s="9">
        <v>2000</v>
      </c>
      <c r="H49" s="9">
        <v>2000</v>
      </c>
      <c r="I49" s="9">
        <v>2000</v>
      </c>
    </row>
    <row r="50" spans="1:10" ht="15.75" customHeight="1" x14ac:dyDescent="0.75">
      <c r="A50" s="7" t="s">
        <v>56</v>
      </c>
      <c r="B50" s="9" t="s">
        <v>138</v>
      </c>
      <c r="C50" s="7">
        <v>2500</v>
      </c>
      <c r="D50" s="9">
        <v>2500</v>
      </c>
      <c r="E50" s="9">
        <v>2500</v>
      </c>
      <c r="F50" s="9">
        <v>2500</v>
      </c>
      <c r="G50" s="9">
        <v>2500</v>
      </c>
      <c r="H50" s="9">
        <v>2500</v>
      </c>
      <c r="I50" s="9">
        <v>2500</v>
      </c>
    </row>
    <row r="51" spans="1:10" ht="15.75" customHeight="1" x14ac:dyDescent="0.75">
      <c r="A51" s="7" t="s">
        <v>59</v>
      </c>
      <c r="B51" s="9" t="s">
        <v>138</v>
      </c>
      <c r="C51" s="7">
        <v>2500</v>
      </c>
      <c r="D51" s="9">
        <v>2500</v>
      </c>
      <c r="E51" s="9">
        <v>2500</v>
      </c>
      <c r="F51" s="9">
        <v>2500</v>
      </c>
      <c r="G51" s="9">
        <v>2500</v>
      </c>
      <c r="H51" s="9">
        <v>2500</v>
      </c>
      <c r="I51" s="9">
        <v>2500</v>
      </c>
    </row>
    <row r="52" spans="1:10" ht="15.75" customHeight="1" x14ac:dyDescent="0.75">
      <c r="A52" s="7" t="s">
        <v>82</v>
      </c>
      <c r="B52" s="7" t="s">
        <v>138</v>
      </c>
      <c r="C52" s="7">
        <v>5000</v>
      </c>
      <c r="D52" s="9">
        <v>5000</v>
      </c>
      <c r="E52" s="9">
        <v>5000</v>
      </c>
      <c r="F52" s="9">
        <v>5000</v>
      </c>
      <c r="G52" s="9">
        <v>5000</v>
      </c>
      <c r="H52" s="9">
        <v>5000</v>
      </c>
      <c r="I52" s="9">
        <v>5000</v>
      </c>
    </row>
    <row r="53" spans="1:10" ht="15.75" customHeight="1" x14ac:dyDescent="0.75">
      <c r="A53" s="7" t="s">
        <v>101</v>
      </c>
      <c r="B53" s="9" t="s">
        <v>138</v>
      </c>
      <c r="C53" s="7">
        <v>2500</v>
      </c>
      <c r="D53" s="9">
        <v>2500</v>
      </c>
      <c r="E53" s="9">
        <v>2500</v>
      </c>
      <c r="F53" s="9">
        <v>2500</v>
      </c>
      <c r="G53" s="9">
        <v>2500</v>
      </c>
      <c r="H53" s="9">
        <v>2500</v>
      </c>
      <c r="I53" s="9">
        <v>2500</v>
      </c>
    </row>
    <row r="54" spans="1:10" ht="15.75" customHeight="1" x14ac:dyDescent="0.75">
      <c r="A54" s="7" t="s">
        <v>117</v>
      </c>
      <c r="B54" s="9" t="s">
        <v>138</v>
      </c>
      <c r="C54" s="7">
        <v>4000</v>
      </c>
      <c r="D54" s="9">
        <v>4000</v>
      </c>
      <c r="E54" s="9">
        <v>4000</v>
      </c>
      <c r="F54" s="9">
        <v>4000</v>
      </c>
      <c r="G54" s="9">
        <v>4000</v>
      </c>
      <c r="H54" s="9">
        <v>4000</v>
      </c>
      <c r="I54" s="9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640625" defaultRowHeight="15" customHeight="1" x14ac:dyDescent="0.65"/>
  <cols>
    <col min="1" max="1" width="11.5" customWidth="1"/>
    <col min="2" max="2" width="24.83203125" customWidth="1"/>
    <col min="3" max="3" width="27.5" customWidth="1"/>
    <col min="4" max="4" width="9.33203125" customWidth="1"/>
    <col min="5" max="5" width="12.6640625" customWidth="1"/>
    <col min="6" max="6" width="10.33203125" customWidth="1"/>
    <col min="7" max="7" width="11.5" customWidth="1"/>
    <col min="8" max="8" width="9.6640625" customWidth="1"/>
    <col min="9" max="9" width="9.33203125" customWidth="1"/>
    <col min="10" max="10" width="10.33203125" customWidth="1"/>
    <col min="11" max="35" width="7.6640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4">
        <f t="shared" ref="D3:AI3" si="1">C3+SUMIFS(C$50:C$66,$A$50:$A$66,$A3)</f>
        <v>37377.416211243981</v>
      </c>
      <c r="E3" s="14">
        <f t="shared" si="1"/>
        <v>55507.735430983172</v>
      </c>
      <c r="F3" s="14">
        <f t="shared" si="1"/>
        <v>79340.232996049992</v>
      </c>
      <c r="G3" s="14">
        <f t="shared" si="1"/>
        <v>110413.38853417023</v>
      </c>
      <c r="H3" s="14">
        <f t="shared" si="1"/>
        <v>149790.23315837886</v>
      </c>
      <c r="I3" s="14">
        <f t="shared" si="1"/>
        <v>200274.5995346572</v>
      </c>
      <c r="J3" s="14">
        <f t="shared" si="1"/>
        <v>264097.84913334413</v>
      </c>
      <c r="K3" s="14">
        <f t="shared" si="1"/>
        <v>346384.40278303844</v>
      </c>
      <c r="L3" s="14">
        <f t="shared" si="1"/>
        <v>450571.97110545967</v>
      </c>
      <c r="M3" s="14">
        <f t="shared" si="1"/>
        <v>581932.45794780226</v>
      </c>
      <c r="N3" s="14">
        <f t="shared" si="1"/>
        <v>744410.31319553417</v>
      </c>
      <c r="O3" s="14">
        <f t="shared" si="1"/>
        <v>940687.35695218516</v>
      </c>
      <c r="P3" s="14">
        <f t="shared" si="1"/>
        <v>1172762.1923687391</v>
      </c>
      <c r="Q3" s="14">
        <f t="shared" si="1"/>
        <v>1442609.2336724203</v>
      </c>
      <c r="R3" s="14">
        <f t="shared" si="1"/>
        <v>1752049.591778944</v>
      </c>
      <c r="S3" s="14">
        <f t="shared" si="1"/>
        <v>2098647.7677885396</v>
      </c>
      <c r="T3" s="14">
        <f t="shared" si="1"/>
        <v>2479718.5775751672</v>
      </c>
      <c r="U3" s="14">
        <f t="shared" si="1"/>
        <v>2892241.4493082985</v>
      </c>
      <c r="V3" s="14">
        <f t="shared" si="1"/>
        <v>3333284.5572750391</v>
      </c>
      <c r="W3" s="14">
        <f t="shared" si="1"/>
        <v>3799378.9535017945</v>
      </c>
      <c r="X3" s="14">
        <f t="shared" si="1"/>
        <v>4286186.6508666556</v>
      </c>
      <c r="Y3" s="14">
        <f t="shared" si="1"/>
        <v>4792010.6869036667</v>
      </c>
      <c r="Z3" s="14">
        <f t="shared" si="1"/>
        <v>5314229.2599426433</v>
      </c>
      <c r="AA3" s="14">
        <f t="shared" si="1"/>
        <v>5850426.1474667676</v>
      </c>
      <c r="AB3" s="14">
        <f t="shared" si="1"/>
        <v>6399312.3414858505</v>
      </c>
      <c r="AC3" s="14">
        <f t="shared" si="1"/>
        <v>6958887.5835362449</v>
      </c>
      <c r="AD3" s="14">
        <f t="shared" si="1"/>
        <v>7527674.373572859</v>
      </c>
      <c r="AE3" s="14">
        <f t="shared" si="1"/>
        <v>8105444.7056255974</v>
      </c>
      <c r="AF3" s="14">
        <f t="shared" si="1"/>
        <v>8691681.160994174</v>
      </c>
      <c r="AG3" s="14">
        <f t="shared" si="1"/>
        <v>9285153.4685893618</v>
      </c>
      <c r="AH3" s="14">
        <f t="shared" si="1"/>
        <v>9885420.0337102972</v>
      </c>
      <c r="AI3" s="14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4">
        <f t="shared" ref="D4:AI4" si="2">C4+SUMIFS(C$50:C$66,$A$50:$A$66,$A4)</f>
        <v>13363.935393106432</v>
      </c>
      <c r="E4" s="14">
        <f t="shared" si="2"/>
        <v>18097.8441101672</v>
      </c>
      <c r="F4" s="14">
        <f t="shared" si="2"/>
        <v>24320.617499053082</v>
      </c>
      <c r="G4" s="14">
        <f t="shared" si="2"/>
        <v>32433.959580109302</v>
      </c>
      <c r="H4" s="14">
        <f t="shared" si="2"/>
        <v>42715.432606460687</v>
      </c>
      <c r="I4" s="14">
        <f t="shared" si="2"/>
        <v>55897.130025431521</v>
      </c>
      <c r="J4" s="14">
        <f t="shared" si="2"/>
        <v>72561.670454340492</v>
      </c>
      <c r="K4" s="14">
        <f t="shared" si="2"/>
        <v>94047.063452554867</v>
      </c>
      <c r="L4" s="14">
        <f t="shared" si="2"/>
        <v>121250.9108814458</v>
      </c>
      <c r="M4" s="14">
        <f t="shared" si="2"/>
        <v>155549.73078657358</v>
      </c>
      <c r="N4" s="14">
        <f t="shared" si="2"/>
        <v>197973.43695326732</v>
      </c>
      <c r="O4" s="14">
        <f t="shared" si="2"/>
        <v>249222.26479447359</v>
      </c>
      <c r="P4" s="14">
        <f t="shared" si="2"/>
        <v>309818.05867287121</v>
      </c>
      <c r="Q4" s="14">
        <f t="shared" si="2"/>
        <v>380276.3471132514</v>
      </c>
      <c r="R4" s="14">
        <f t="shared" si="2"/>
        <v>461072.63044929021</v>
      </c>
      <c r="S4" s="14">
        <f t="shared" si="2"/>
        <v>551570.98885341699</v>
      </c>
      <c r="T4" s="14">
        <f t="shared" si="2"/>
        <v>651070.30855112453</v>
      </c>
      <c r="U4" s="14">
        <f t="shared" si="2"/>
        <v>758781.90451454639</v>
      </c>
      <c r="V4" s="14">
        <f t="shared" si="2"/>
        <v>873940.26373031759</v>
      </c>
      <c r="W4" s="14">
        <f t="shared" si="2"/>
        <v>995639.62812257628</v>
      </c>
      <c r="X4" s="14">
        <f t="shared" si="2"/>
        <v>1122747.3295456595</v>
      </c>
      <c r="Y4" s="14">
        <f t="shared" si="2"/>
        <v>1254820.2833901483</v>
      </c>
      <c r="Z4" s="14">
        <f t="shared" si="2"/>
        <v>1391173.9253287159</v>
      </c>
      <c r="AA4" s="14">
        <f t="shared" si="2"/>
        <v>1531177.3686849556</v>
      </c>
      <c r="AB4" s="14">
        <f t="shared" si="2"/>
        <v>1674494.0476164708</v>
      </c>
      <c r="AC4" s="14">
        <f t="shared" si="2"/>
        <v>1820601.685550926</v>
      </c>
      <c r="AD4" s="14">
        <f t="shared" si="2"/>
        <v>1969114.5005140412</v>
      </c>
      <c r="AE4" s="14">
        <f t="shared" si="2"/>
        <v>2119972.9591111587</v>
      </c>
      <c r="AF4" s="14">
        <f t="shared" si="2"/>
        <v>2273041.9609689224</v>
      </c>
      <c r="AG4" s="14">
        <f t="shared" si="2"/>
        <v>2428000.2767166272</v>
      </c>
      <c r="AH4" s="14">
        <f t="shared" si="2"/>
        <v>2584732.6039716457</v>
      </c>
      <c r="AI4" s="14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4">
        <f t="shared" ref="D5:AI5" si="3">C5+SUMIFS(C$50:C$66,$A$50:$A$66,$A5)</f>
        <v>95666.89129376116</v>
      </c>
      <c r="E5" s="14">
        <f t="shared" si="3"/>
        <v>112921.46802121098</v>
      </c>
      <c r="F5" s="14">
        <f t="shared" si="3"/>
        <v>135602.79276013203</v>
      </c>
      <c r="G5" s="14">
        <f t="shared" si="3"/>
        <v>165175.03249283048</v>
      </c>
      <c r="H5" s="14">
        <f t="shared" si="3"/>
        <v>202649.87111087062</v>
      </c>
      <c r="I5" s="14">
        <f t="shared" si="3"/>
        <v>250695.70872788268</v>
      </c>
      <c r="J5" s="14">
        <f t="shared" si="3"/>
        <v>311436.12613855669</v>
      </c>
      <c r="K5" s="14">
        <f t="shared" si="3"/>
        <v>389748.02105766279</v>
      </c>
      <c r="L5" s="14">
        <f t="shared" si="3"/>
        <v>488903.05356852978</v>
      </c>
      <c r="M5" s="14">
        <f t="shared" si="3"/>
        <v>613918.4805836624</v>
      </c>
      <c r="N5" s="14">
        <f t="shared" si="3"/>
        <v>768548.22460003966</v>
      </c>
      <c r="O5" s="14">
        <f t="shared" si="3"/>
        <v>955344.56669913244</v>
      </c>
      <c r="P5" s="14">
        <f t="shared" si="3"/>
        <v>1176209.5722002778</v>
      </c>
      <c r="Q5" s="14">
        <f t="shared" si="3"/>
        <v>1433022.2858882095</v>
      </c>
      <c r="R5" s="14">
        <f t="shared" si="3"/>
        <v>1727515.8541925941</v>
      </c>
      <c r="S5" s="14">
        <f t="shared" si="3"/>
        <v>2057372.4192684377</v>
      </c>
      <c r="T5" s="14">
        <f t="shared" si="3"/>
        <v>2420036.4985029669</v>
      </c>
      <c r="U5" s="14">
        <f t="shared" si="3"/>
        <v>2812633.4216943528</v>
      </c>
      <c r="V5" s="14">
        <f t="shared" si="3"/>
        <v>3232372.9780856017</v>
      </c>
      <c r="W5" s="14">
        <f t="shared" si="3"/>
        <v>3675953.7790884334</v>
      </c>
      <c r="X5" s="14">
        <f t="shared" si="3"/>
        <v>4139247.3738614433</v>
      </c>
      <c r="Y5" s="14">
        <f t="shared" si="3"/>
        <v>4620638.7677254118</v>
      </c>
      <c r="Z5" s="14">
        <f t="shared" si="3"/>
        <v>5117632.7989827394</v>
      </c>
      <c r="AA5" s="14">
        <f t="shared" si="3"/>
        <v>5627929.9550709743</v>
      </c>
      <c r="AB5" s="14">
        <f t="shared" si="3"/>
        <v>6150303.490503761</v>
      </c>
      <c r="AC5" s="14">
        <f t="shared" si="3"/>
        <v>6682849.76460509</v>
      </c>
      <c r="AD5" s="14">
        <f t="shared" si="3"/>
        <v>7224162.6444997564</v>
      </c>
      <c r="AE5" s="14">
        <f t="shared" si="3"/>
        <v>7774025.1375105968</v>
      </c>
      <c r="AF5" s="14">
        <f t="shared" si="3"/>
        <v>8331944.8176325243</v>
      </c>
      <c r="AG5" s="14">
        <f t="shared" si="3"/>
        <v>8896750.8391320817</v>
      </c>
      <c r="AH5" s="14">
        <f t="shared" si="3"/>
        <v>9468022.9375033826</v>
      </c>
      <c r="AI5" s="14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4">
        <f t="shared" ref="D6:AI6" si="4">C6+SUMIFS(C$50:C$66,$A$50:$A$66,$A6)</f>
        <v>40292.142578864783</v>
      </c>
      <c r="E6" s="14">
        <f t="shared" si="4"/>
        <v>41125.01655754559</v>
      </c>
      <c r="F6" s="14">
        <f t="shared" si="4"/>
        <v>42219.838266327584</v>
      </c>
      <c r="G6" s="14">
        <f t="shared" si="4"/>
        <v>43647.282668686763</v>
      </c>
      <c r="H6" s="14">
        <f t="shared" si="4"/>
        <v>45456.18348574212</v>
      </c>
      <c r="I6" s="14">
        <f t="shared" si="4"/>
        <v>47775.34370434501</v>
      </c>
      <c r="J6" s="14">
        <f t="shared" si="4"/>
        <v>50707.268023014636</v>
      </c>
      <c r="K6" s="14">
        <f t="shared" si="4"/>
        <v>54487.363039518073</v>
      </c>
      <c r="L6" s="14">
        <f t="shared" si="4"/>
        <v>59273.550944212984</v>
      </c>
      <c r="M6" s="14">
        <f t="shared" si="4"/>
        <v>65308.013437223824</v>
      </c>
      <c r="N6" s="14">
        <f t="shared" si="4"/>
        <v>72771.951391519222</v>
      </c>
      <c r="O6" s="14">
        <f t="shared" si="4"/>
        <v>81788.562758148008</v>
      </c>
      <c r="P6" s="14">
        <f t="shared" si="4"/>
        <v>92449.659740634524</v>
      </c>
      <c r="Q6" s="14">
        <f t="shared" si="4"/>
        <v>104845.94334722147</v>
      </c>
      <c r="R6" s="14">
        <f t="shared" si="4"/>
        <v>119061.07211009506</v>
      </c>
      <c r="S6" s="14">
        <f t="shared" si="4"/>
        <v>134983.16362750935</v>
      </c>
      <c r="T6" s="14">
        <f t="shared" si="4"/>
        <v>152488.86541132335</v>
      </c>
      <c r="U6" s="14">
        <f t="shared" si="4"/>
        <v>171439.41787060586</v>
      </c>
      <c r="V6" s="14">
        <f t="shared" si="4"/>
        <v>191700.13825009469</v>
      </c>
      <c r="W6" s="14">
        <f t="shared" si="4"/>
        <v>213111.66937214797</v>
      </c>
      <c r="X6" s="14">
        <f t="shared" si="4"/>
        <v>235474.73197698538</v>
      </c>
      <c r="Y6" s="14">
        <f t="shared" si="4"/>
        <v>258711.37068701189</v>
      </c>
      <c r="Z6" s="14">
        <f t="shared" si="4"/>
        <v>282701.1446891402</v>
      </c>
      <c r="AA6" s="14">
        <f t="shared" si="4"/>
        <v>307333.05710369209</v>
      </c>
      <c r="AB6" s="14">
        <f t="shared" si="4"/>
        <v>332547.8932417077</v>
      </c>
      <c r="AC6" s="14">
        <f t="shared" si="4"/>
        <v>358253.76485760149</v>
      </c>
      <c r="AD6" s="14">
        <f t="shared" si="4"/>
        <v>384382.79827931389</v>
      </c>
      <c r="AE6" s="14">
        <f t="shared" si="4"/>
        <v>410924.51932615478</v>
      </c>
      <c r="AF6" s="14">
        <f t="shared" si="4"/>
        <v>437855.15872156987</v>
      </c>
      <c r="AG6" s="14">
        <f t="shared" si="4"/>
        <v>465118.20004328765</v>
      </c>
      <c r="AH6" s="14">
        <f t="shared" si="4"/>
        <v>492693.35723175149</v>
      </c>
      <c r="AI6" s="14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4">
        <f t="shared" ref="D7:AI7" si="5">C7+SUMIFS(C$50:C$66,$A$50:$A$66,$A7)</f>
        <v>119285.47389210541</v>
      </c>
      <c r="E7" s="14">
        <f t="shared" si="5"/>
        <v>128260.30341972837</v>
      </c>
      <c r="F7" s="14">
        <f t="shared" si="5"/>
        <v>140057.81234781668</v>
      </c>
      <c r="G7" s="14">
        <f t="shared" si="5"/>
        <v>155439.57537470915</v>
      </c>
      <c r="H7" s="14">
        <f t="shared" si="5"/>
        <v>174931.81175261078</v>
      </c>
      <c r="I7" s="14">
        <f t="shared" si="5"/>
        <v>199922.46837292353</v>
      </c>
      <c r="J7" s="14">
        <f t="shared" si="5"/>
        <v>231516.10873329363</v>
      </c>
      <c r="K7" s="14">
        <f t="shared" si="5"/>
        <v>272249.41201774793</v>
      </c>
      <c r="L7" s="14">
        <f t="shared" si="5"/>
        <v>323824.10594664788</v>
      </c>
      <c r="M7" s="14">
        <f t="shared" si="5"/>
        <v>388849.87641361397</v>
      </c>
      <c r="N7" s="14">
        <f t="shared" si="5"/>
        <v>469279.29606081918</v>
      </c>
      <c r="O7" s="14">
        <f t="shared" si="5"/>
        <v>566439.91339754337</v>
      </c>
      <c r="P7" s="14">
        <f t="shared" si="5"/>
        <v>681321.07242573448</v>
      </c>
      <c r="Q7" s="14">
        <f t="shared" si="5"/>
        <v>814900.14320112544</v>
      </c>
      <c r="R7" s="14">
        <f t="shared" si="5"/>
        <v>968078.60792164924</v>
      </c>
      <c r="S7" s="14">
        <f t="shared" si="5"/>
        <v>1139650.8514420216</v>
      </c>
      <c r="T7" s="14">
        <f t="shared" si="5"/>
        <v>1328287.6600021643</v>
      </c>
      <c r="U7" s="14">
        <f t="shared" si="5"/>
        <v>1532493.7969806828</v>
      </c>
      <c r="V7" s="14">
        <f t="shared" si="5"/>
        <v>1750817.9566581894</v>
      </c>
      <c r="W7" s="14">
        <f t="shared" si="5"/>
        <v>1981542.9482711973</v>
      </c>
      <c r="X7" s="14">
        <f t="shared" si="5"/>
        <v>2222521.3912667064</v>
      </c>
      <c r="Y7" s="14">
        <f t="shared" si="5"/>
        <v>2472913.2591309994</v>
      </c>
      <c r="Z7" s="14">
        <f t="shared" si="5"/>
        <v>2731420.7135436395</v>
      </c>
      <c r="AA7" s="14">
        <f t="shared" si="5"/>
        <v>2996847.6815107409</v>
      </c>
      <c r="AB7" s="14">
        <f t="shared" si="5"/>
        <v>3268556.0812185491</v>
      </c>
      <c r="AC7" s="14">
        <f t="shared" si="5"/>
        <v>3545555.7492559929</v>
      </c>
      <c r="AD7" s="14">
        <f t="shared" si="5"/>
        <v>3827115.2968995189</v>
      </c>
      <c r="AE7" s="14">
        <f t="shared" si="5"/>
        <v>4113121.8571505877</v>
      </c>
      <c r="AF7" s="14">
        <f t="shared" si="5"/>
        <v>4403319.2985769175</v>
      </c>
      <c r="AG7" s="14">
        <f t="shared" si="5"/>
        <v>4697098.6151723396</v>
      </c>
      <c r="AH7" s="14">
        <f t="shared" si="5"/>
        <v>4994241.2097289115</v>
      </c>
      <c r="AI7" s="14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4">
        <f t="shared" ref="D8:AI8" si="6">C8+SUMIFS(C$50:C$66,$A$50:$A$66,$A8)</f>
        <v>231350.97500135275</v>
      </c>
      <c r="E8" s="14">
        <f t="shared" si="6"/>
        <v>268444.48741951195</v>
      </c>
      <c r="F8" s="14">
        <f t="shared" si="6"/>
        <v>317204.30425842758</v>
      </c>
      <c r="G8" s="14">
        <f t="shared" si="6"/>
        <v>380778.05973702722</v>
      </c>
      <c r="H8" s="14">
        <f t="shared" si="6"/>
        <v>461340.64980249986</v>
      </c>
      <c r="I8" s="14">
        <f t="shared" si="6"/>
        <v>564628.54277365946</v>
      </c>
      <c r="J8" s="14">
        <f t="shared" si="6"/>
        <v>695206.96628970292</v>
      </c>
      <c r="K8" s="14">
        <f t="shared" si="6"/>
        <v>863560.1686055949</v>
      </c>
      <c r="L8" s="14">
        <f t="shared" si="6"/>
        <v>1076721.4931551323</v>
      </c>
      <c r="M8" s="14">
        <f t="shared" si="6"/>
        <v>1345476.9293328284</v>
      </c>
      <c r="N8" s="14">
        <f t="shared" si="6"/>
        <v>1677896.5777825876</v>
      </c>
      <c r="O8" s="14">
        <f t="shared" si="6"/>
        <v>2079467.2766625183</v>
      </c>
      <c r="P8" s="14">
        <f t="shared" si="6"/>
        <v>2554278.0444781128</v>
      </c>
      <c r="Q8" s="14">
        <f t="shared" si="6"/>
        <v>3106368.4106920622</v>
      </c>
      <c r="R8" s="14">
        <f t="shared" si="6"/>
        <v>3739464.2556679836</v>
      </c>
      <c r="S8" s="14">
        <f t="shared" si="6"/>
        <v>4448582.6992045883</v>
      </c>
      <c r="T8" s="14">
        <f t="shared" si="6"/>
        <v>5228230.0205616578</v>
      </c>
      <c r="U8" s="14">
        <f t="shared" si="6"/>
        <v>6072226.3164872034</v>
      </c>
      <c r="V8" s="14">
        <f t="shared" si="6"/>
        <v>6974573.2528001731</v>
      </c>
      <c r="W8" s="14">
        <f t="shared" si="6"/>
        <v>7928173.5763757378</v>
      </c>
      <c r="X8" s="14">
        <f t="shared" si="6"/>
        <v>8924152.0337102972</v>
      </c>
      <c r="Y8" s="14">
        <f t="shared" si="6"/>
        <v>9959036.744494345</v>
      </c>
      <c r="Z8" s="14">
        <f t="shared" si="6"/>
        <v>11027463.664574428</v>
      </c>
      <c r="AA8" s="14">
        <f t="shared" si="6"/>
        <v>12124489.352037227</v>
      </c>
      <c r="AB8" s="14">
        <f t="shared" si="6"/>
        <v>13247476.576213408</v>
      </c>
      <c r="AC8" s="14">
        <f t="shared" si="6"/>
        <v>14392332.931930091</v>
      </c>
      <c r="AD8" s="14">
        <f t="shared" si="6"/>
        <v>15556035.545425031</v>
      </c>
      <c r="AE8" s="14">
        <f t="shared" si="6"/>
        <v>16738117.930577351</v>
      </c>
      <c r="AF8" s="14">
        <f t="shared" si="6"/>
        <v>17937521.480709918</v>
      </c>
      <c r="AG8" s="14">
        <f t="shared" si="6"/>
        <v>19151729.137222011</v>
      </c>
      <c r="AH8" s="14">
        <f t="shared" si="6"/>
        <v>20379837.424652345</v>
      </c>
      <c r="AI8" s="14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4">
        <f t="shared" ref="D9:AI9" si="7">C9+SUMIFS(C$50:C$66,$A$50:$A$66,$A9)</f>
        <v>10906.893945132839</v>
      </c>
      <c r="E9" s="14">
        <f t="shared" si="7"/>
        <v>13938.310264596072</v>
      </c>
      <c r="F9" s="14">
        <f t="shared" si="7"/>
        <v>17923.139278177587</v>
      </c>
      <c r="G9" s="14">
        <f t="shared" si="7"/>
        <v>23118.61706617607</v>
      </c>
      <c r="H9" s="14">
        <f t="shared" si="7"/>
        <v>29702.484010605483</v>
      </c>
      <c r="I9" s="14">
        <f t="shared" si="7"/>
        <v>38143.545100373354</v>
      </c>
      <c r="J9" s="14">
        <f t="shared" si="7"/>
        <v>48814.887289648825</v>
      </c>
      <c r="K9" s="14">
        <f t="shared" si="7"/>
        <v>62573.321357069421</v>
      </c>
      <c r="L9" s="14">
        <f t="shared" si="7"/>
        <v>79993.637627833989</v>
      </c>
      <c r="M9" s="14">
        <f t="shared" si="7"/>
        <v>101957.30626048373</v>
      </c>
      <c r="N9" s="14">
        <f t="shared" si="7"/>
        <v>129123.84513825009</v>
      </c>
      <c r="O9" s="14">
        <f t="shared" si="7"/>
        <v>161941.6585682593</v>
      </c>
      <c r="P9" s="14">
        <f t="shared" si="7"/>
        <v>200744.91596775065</v>
      </c>
      <c r="Q9" s="14">
        <f t="shared" si="7"/>
        <v>245863.74232996049</v>
      </c>
      <c r="R9" s="14">
        <f t="shared" si="7"/>
        <v>297602.63010659593</v>
      </c>
      <c r="S9" s="14">
        <f t="shared" si="7"/>
        <v>355554.36026189057</v>
      </c>
      <c r="T9" s="14">
        <f t="shared" si="7"/>
        <v>419269.96601915476</v>
      </c>
      <c r="U9" s="14">
        <f t="shared" si="7"/>
        <v>488244.40327904327</v>
      </c>
      <c r="V9" s="14">
        <f t="shared" si="7"/>
        <v>561987.46642497694</v>
      </c>
      <c r="W9" s="14">
        <f t="shared" si="7"/>
        <v>639919.14220009733</v>
      </c>
      <c r="X9" s="14">
        <f t="shared" si="7"/>
        <v>721314.11271035112</v>
      </c>
      <c r="Y9" s="14">
        <f t="shared" si="7"/>
        <v>805888.64330934465</v>
      </c>
      <c r="Z9" s="14">
        <f t="shared" si="7"/>
        <v>893204.36486120871</v>
      </c>
      <c r="AA9" s="14">
        <f t="shared" si="7"/>
        <v>982857.28137005563</v>
      </c>
      <c r="AB9" s="14">
        <f t="shared" si="7"/>
        <v>1074631.8687841566</v>
      </c>
      <c r="AC9" s="14">
        <f t="shared" si="7"/>
        <v>1168193.6809155347</v>
      </c>
      <c r="AD9" s="14">
        <f t="shared" si="7"/>
        <v>1263295.6775607378</v>
      </c>
      <c r="AE9" s="14">
        <f t="shared" si="7"/>
        <v>1359899.7357826955</v>
      </c>
      <c r="AF9" s="14">
        <f t="shared" si="7"/>
        <v>1457919.3424057136</v>
      </c>
      <c r="AG9" s="14">
        <f t="shared" si="7"/>
        <v>1557148.7942752012</v>
      </c>
      <c r="AH9" s="14">
        <f t="shared" si="7"/>
        <v>1657514.25610086</v>
      </c>
      <c r="AI9" s="14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4">
        <f t="shared" ref="D10:AI10" si="8">C10+SUMIFS(C$50:C$66,$A$50:$A$66,$A10)</f>
        <v>16434.008657540177</v>
      </c>
      <c r="E10" s="14">
        <f t="shared" si="8"/>
        <v>21960.984876359504</v>
      </c>
      <c r="F10" s="14">
        <f t="shared" si="8"/>
        <v>29226.253936475296</v>
      </c>
      <c r="G10" s="14">
        <f t="shared" si="8"/>
        <v>38698.8169741897</v>
      </c>
      <c r="H10" s="14">
        <f t="shared" si="8"/>
        <v>50702.735999134238</v>
      </c>
      <c r="I10" s="14">
        <f t="shared" si="8"/>
        <v>66092.751420377681</v>
      </c>
      <c r="J10" s="14">
        <f t="shared" si="8"/>
        <v>85549.087432137501</v>
      </c>
      <c r="K10" s="14">
        <f t="shared" si="8"/>
        <v>110633.9091409195</v>
      </c>
      <c r="L10" s="14">
        <f t="shared" si="8"/>
        <v>142395.19284670742</v>
      </c>
      <c r="M10" s="14">
        <f t="shared" si="8"/>
        <v>182440.06343451832</v>
      </c>
      <c r="N10" s="14">
        <f t="shared" si="8"/>
        <v>231970.9752268095</v>
      </c>
      <c r="O10" s="14">
        <f t="shared" si="8"/>
        <v>291805.47345021012</v>
      </c>
      <c r="P10" s="14">
        <f t="shared" si="8"/>
        <v>362552.82658766658</v>
      </c>
      <c r="Q10" s="14">
        <f t="shared" si="8"/>
        <v>444814.92919755424</v>
      </c>
      <c r="R10" s="14">
        <f t="shared" si="8"/>
        <v>539146.94176000578</v>
      </c>
      <c r="S10" s="14">
        <f t="shared" si="8"/>
        <v>644806.40936637623</v>
      </c>
      <c r="T10" s="14">
        <f t="shared" si="8"/>
        <v>760974.7612773478</v>
      </c>
      <c r="U10" s="14">
        <f t="shared" si="8"/>
        <v>886731.18476633646</v>
      </c>
      <c r="V10" s="14">
        <f t="shared" si="8"/>
        <v>1021181.9211081651</v>
      </c>
      <c r="W10" s="14">
        <f t="shared" si="8"/>
        <v>1163269.4713850259</v>
      </c>
      <c r="X10" s="14">
        <f t="shared" si="8"/>
        <v>1311671.4125678623</v>
      </c>
      <c r="Y10" s="14">
        <f t="shared" si="8"/>
        <v>1465870.4304781486</v>
      </c>
      <c r="Z10" s="14">
        <f t="shared" si="8"/>
        <v>1625067.2763378604</v>
      </c>
      <c r="AA10" s="14">
        <f t="shared" si="8"/>
        <v>1788525.3715888388</v>
      </c>
      <c r="AB10" s="14">
        <f t="shared" si="8"/>
        <v>1955851.7658135379</v>
      </c>
      <c r="AC10" s="14">
        <f t="shared" si="8"/>
        <v>2126436.6859116568</v>
      </c>
      <c r="AD10" s="14">
        <f t="shared" si="8"/>
        <v>2299829.720199123</v>
      </c>
      <c r="AE10" s="14">
        <f t="shared" si="8"/>
        <v>2475961.3617048133</v>
      </c>
      <c r="AF10" s="14">
        <f t="shared" si="8"/>
        <v>2654673.876810417</v>
      </c>
      <c r="AG10" s="14">
        <f t="shared" si="8"/>
        <v>2835592.2208754928</v>
      </c>
      <c r="AH10" s="14">
        <f t="shared" si="8"/>
        <v>3018581.7750121737</v>
      </c>
      <c r="AI10" s="14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4">
        <f t="shared" ref="D11:AI11" si="9">C11+SUMIFS(C$50:C$66,$A$50:$A$66,$A11)</f>
        <v>24350.528651047021</v>
      </c>
      <c r="E11" s="14">
        <f t="shared" si="9"/>
        <v>32915.045262702231</v>
      </c>
      <c r="F11" s="14">
        <f t="shared" si="9"/>
        <v>44173.193496022941</v>
      </c>
      <c r="G11" s="14">
        <f t="shared" si="9"/>
        <v>58851.730236459065</v>
      </c>
      <c r="H11" s="14">
        <f t="shared" si="9"/>
        <v>77452.816947134896</v>
      </c>
      <c r="I11" s="14">
        <f t="shared" si="9"/>
        <v>101300.94610681239</v>
      </c>
      <c r="J11" s="14">
        <f t="shared" si="9"/>
        <v>131450.18257489672</v>
      </c>
      <c r="K11" s="14">
        <f t="shared" si="9"/>
        <v>170321.23316739712</v>
      </c>
      <c r="L11" s="14">
        <f t="shared" si="9"/>
        <v>219538.02570207237</v>
      </c>
      <c r="M11" s="14">
        <f t="shared" si="9"/>
        <v>281590.93597027572</v>
      </c>
      <c r="N11" s="14">
        <f t="shared" si="9"/>
        <v>358343.26853705599</v>
      </c>
      <c r="O11" s="14">
        <f t="shared" si="9"/>
        <v>451061.87880345574</v>
      </c>
      <c r="P11" s="14">
        <f t="shared" si="9"/>
        <v>560690.87975939247</v>
      </c>
      <c r="Q11" s="14">
        <f t="shared" si="9"/>
        <v>688162.95787565596</v>
      </c>
      <c r="R11" s="14">
        <f t="shared" si="9"/>
        <v>834338.38122035237</v>
      </c>
      <c r="S11" s="14">
        <f t="shared" si="9"/>
        <v>998066.65318435139</v>
      </c>
      <c r="T11" s="14">
        <f t="shared" si="9"/>
        <v>1178079.3292480565</v>
      </c>
      <c r="U11" s="14">
        <f t="shared" si="9"/>
        <v>1372949.5322944284</v>
      </c>
      <c r="V11" s="14">
        <f t="shared" si="9"/>
        <v>1581292.3076673339</v>
      </c>
      <c r="W11" s="14">
        <f t="shared" si="9"/>
        <v>1801468.9714481537</v>
      </c>
      <c r="X11" s="14">
        <f t="shared" si="9"/>
        <v>2031430.3174251029</v>
      </c>
      <c r="Y11" s="14">
        <f t="shared" si="9"/>
        <v>2270374.7235719566</v>
      </c>
      <c r="Z11" s="14">
        <f t="shared" si="9"/>
        <v>2517063.6863806071</v>
      </c>
      <c r="AA11" s="14">
        <f t="shared" si="9"/>
        <v>2770355.8151434804</v>
      </c>
      <c r="AB11" s="14">
        <f t="shared" si="9"/>
        <v>3029642.1999891778</v>
      </c>
      <c r="AC11" s="14">
        <f t="shared" si="9"/>
        <v>3293977.9459805563</v>
      </c>
      <c r="AD11" s="14">
        <f t="shared" si="9"/>
        <v>3562665.1021589739</v>
      </c>
      <c r="AE11" s="14">
        <f t="shared" si="9"/>
        <v>3835595.9616002017</v>
      </c>
      <c r="AF11" s="14">
        <f t="shared" si="9"/>
        <v>4112526.1027361429</v>
      </c>
      <c r="AG11" s="14">
        <f t="shared" si="9"/>
        <v>4392874.362209837</v>
      </c>
      <c r="AH11" s="14">
        <f t="shared" si="9"/>
        <v>4676432.136680915</v>
      </c>
      <c r="AI11" s="14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4">
        <f t="shared" ref="D12:AI12" si="10">C12+SUMIFS(C$50:C$66,$A$50:$A$66,$A12)</f>
        <v>8746.1628158649419</v>
      </c>
      <c r="E12" s="14">
        <f t="shared" si="10"/>
        <v>11887.812456035928</v>
      </c>
      <c r="F12" s="14">
        <f t="shared" si="10"/>
        <v>16017.544342838592</v>
      </c>
      <c r="G12" s="14">
        <f t="shared" si="10"/>
        <v>21401.948595855203</v>
      </c>
      <c r="H12" s="14">
        <f t="shared" si="10"/>
        <v>28225.228883718413</v>
      </c>
      <c r="I12" s="14">
        <f t="shared" si="10"/>
        <v>36973.237649477844</v>
      </c>
      <c r="J12" s="14">
        <f t="shared" si="10"/>
        <v>48032.628645636061</v>
      </c>
      <c r="K12" s="14">
        <f t="shared" si="10"/>
        <v>62291.369406417405</v>
      </c>
      <c r="L12" s="14">
        <f t="shared" si="10"/>
        <v>80345.151723391595</v>
      </c>
      <c r="M12" s="14">
        <f t="shared" si="10"/>
        <v>103107.49921541043</v>
      </c>
      <c r="N12" s="14">
        <f t="shared" si="10"/>
        <v>131261.91223418646</v>
      </c>
      <c r="O12" s="14">
        <f t="shared" si="10"/>
        <v>165273.10069801417</v>
      </c>
      <c r="P12" s="14">
        <f t="shared" si="10"/>
        <v>205487.38563930523</v>
      </c>
      <c r="Q12" s="14">
        <f t="shared" si="10"/>
        <v>252246.89659650449</v>
      </c>
      <c r="R12" s="14">
        <f t="shared" si="10"/>
        <v>305867.19847410853</v>
      </c>
      <c r="S12" s="14">
        <f t="shared" si="10"/>
        <v>365926.26427141385</v>
      </c>
      <c r="T12" s="14">
        <f t="shared" si="10"/>
        <v>431958.80114712403</v>
      </c>
      <c r="U12" s="14">
        <f t="shared" si="10"/>
        <v>503441.39976191759</v>
      </c>
      <c r="V12" s="14">
        <f t="shared" si="10"/>
        <v>579866.02884043066</v>
      </c>
      <c r="W12" s="14">
        <f t="shared" si="10"/>
        <v>660631.58373464632</v>
      </c>
      <c r="X12" s="14">
        <f t="shared" si="10"/>
        <v>744986.37135436386</v>
      </c>
      <c r="Y12" s="14">
        <f t="shared" si="10"/>
        <v>832636.33942968445</v>
      </c>
      <c r="Z12" s="14">
        <f t="shared" si="10"/>
        <v>923127.17812888906</v>
      </c>
      <c r="AA12" s="14">
        <f t="shared" si="10"/>
        <v>1016040.2006926031</v>
      </c>
      <c r="AB12" s="14">
        <f t="shared" si="10"/>
        <v>1111152.0458308533</v>
      </c>
      <c r="AC12" s="14">
        <f t="shared" si="10"/>
        <v>1208116.1056760997</v>
      </c>
      <c r="AD12" s="14">
        <f t="shared" si="10"/>
        <v>1306676.3567447648</v>
      </c>
      <c r="AE12" s="14">
        <f t="shared" si="10"/>
        <v>1406793.2898111574</v>
      </c>
      <c r="AF12" s="14">
        <f t="shared" si="10"/>
        <v>1508377.2457659217</v>
      </c>
      <c r="AG12" s="14">
        <f t="shared" si="10"/>
        <v>1611215.0413397541</v>
      </c>
      <c r="AH12" s="14">
        <f t="shared" si="10"/>
        <v>1715230.1563227095</v>
      </c>
      <c r="AI12" s="14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4">
        <f t="shared" ref="D13:AI13" si="11">C13+SUMIFS(C$50:C$66,$A$50:$A$66,$A13)</f>
        <v>140764.79335533793</v>
      </c>
      <c r="E13" s="14">
        <f t="shared" si="11"/>
        <v>155621.79535739409</v>
      </c>
      <c r="F13" s="14">
        <f t="shared" si="11"/>
        <v>175151.48260375523</v>
      </c>
      <c r="G13" s="14">
        <f t="shared" si="11"/>
        <v>200614.57172230943</v>
      </c>
      <c r="H13" s="14">
        <f t="shared" si="11"/>
        <v>232882.17012066449</v>
      </c>
      <c r="I13" s="14">
        <f t="shared" si="11"/>
        <v>274251.89578486013</v>
      </c>
      <c r="J13" s="14">
        <f t="shared" si="11"/>
        <v>326552.25164583448</v>
      </c>
      <c r="K13" s="14">
        <f t="shared" si="11"/>
        <v>393982.47598434432</v>
      </c>
      <c r="L13" s="14">
        <f t="shared" si="11"/>
        <v>479359.62199015205</v>
      </c>
      <c r="M13" s="14">
        <f t="shared" si="11"/>
        <v>587003.78381400718</v>
      </c>
      <c r="N13" s="14">
        <f t="shared" si="11"/>
        <v>720147.26526342367</v>
      </c>
      <c r="O13" s="14">
        <f t="shared" si="11"/>
        <v>880987.70037696371</v>
      </c>
      <c r="P13" s="14">
        <f t="shared" si="11"/>
        <v>1071162.8568439658</v>
      </c>
      <c r="Q13" s="14">
        <f t="shared" si="11"/>
        <v>1292290.6805908771</v>
      </c>
      <c r="R13" s="14">
        <f t="shared" si="11"/>
        <v>1545863.4921991955</v>
      </c>
      <c r="S13" s="14">
        <f t="shared" si="11"/>
        <v>1829885.5070613062</v>
      </c>
      <c r="T13" s="14">
        <f t="shared" si="11"/>
        <v>2142156.3344696355</v>
      </c>
      <c r="U13" s="14">
        <f t="shared" si="11"/>
        <v>2480200.7481918368</v>
      </c>
      <c r="V13" s="14">
        <f t="shared" si="11"/>
        <v>2841616.2455494832</v>
      </c>
      <c r="W13" s="14">
        <f t="shared" si="11"/>
        <v>3223560.1757119927</v>
      </c>
      <c r="X13" s="14">
        <f t="shared" si="11"/>
        <v>3622477.7483541658</v>
      </c>
      <c r="Y13" s="14">
        <f t="shared" si="11"/>
        <v>4036978.3771080212</v>
      </c>
      <c r="Z13" s="14">
        <f t="shared" si="11"/>
        <v>4464913.6104106922</v>
      </c>
      <c r="AA13" s="14">
        <f t="shared" si="11"/>
        <v>4904303.4598055659</v>
      </c>
      <c r="AB13" s="14">
        <f t="shared" si="11"/>
        <v>5354091.639738109</v>
      </c>
      <c r="AC13" s="14">
        <f t="shared" si="11"/>
        <v>5812639.0260628024</v>
      </c>
      <c r="AD13" s="14">
        <f t="shared" si="11"/>
        <v>6278734.8722471716</v>
      </c>
      <c r="AE13" s="14">
        <f t="shared" si="11"/>
        <v>6752192.3373915544</v>
      </c>
      <c r="AF13" s="14">
        <f t="shared" si="11"/>
        <v>7232587.419548003</v>
      </c>
      <c r="AG13" s="14">
        <f t="shared" si="11"/>
        <v>7718911.965478057</v>
      </c>
      <c r="AH13" s="14">
        <f t="shared" si="11"/>
        <v>8210804.1076781545</v>
      </c>
      <c r="AI13" s="14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4">
        <f t="shared" ref="D14:AI14" si="12">C14+SUMIFS(C$50:C$66,$A$50:$A$66,$A14)</f>
        <v>12892.670959363671</v>
      </c>
      <c r="E14" s="14">
        <f t="shared" si="12"/>
        <v>16812.077917861589</v>
      </c>
      <c r="F14" s="14">
        <f t="shared" si="12"/>
        <v>21964.18007683567</v>
      </c>
      <c r="G14" s="14">
        <f t="shared" si="12"/>
        <v>28681.565499702399</v>
      </c>
      <c r="H14" s="14">
        <f t="shared" si="12"/>
        <v>37194.039932904067</v>
      </c>
      <c r="I14" s="14">
        <f t="shared" si="12"/>
        <v>48107.735079270606</v>
      </c>
      <c r="J14" s="14">
        <f t="shared" si="12"/>
        <v>61905.025990657072</v>
      </c>
      <c r="K14" s="14">
        <f t="shared" si="12"/>
        <v>79693.708421261472</v>
      </c>
      <c r="L14" s="14">
        <f t="shared" si="12"/>
        <v>102216.94561982577</v>
      </c>
      <c r="M14" s="14">
        <f t="shared" si="12"/>
        <v>130614.4161751709</v>
      </c>
      <c r="N14" s="14">
        <f t="shared" si="12"/>
        <v>165738.83007773751</v>
      </c>
      <c r="O14" s="14">
        <f t="shared" si="12"/>
        <v>208169.94239128477</v>
      </c>
      <c r="P14" s="14">
        <f t="shared" si="12"/>
        <v>258339.81054416249</v>
      </c>
      <c r="Q14" s="14">
        <f t="shared" si="12"/>
        <v>316675.26281045401</v>
      </c>
      <c r="R14" s="14">
        <f t="shared" si="12"/>
        <v>383569.98640044732</v>
      </c>
      <c r="S14" s="14">
        <f t="shared" si="12"/>
        <v>458497.47589416162</v>
      </c>
      <c r="T14" s="14">
        <f t="shared" si="12"/>
        <v>540877.24899446289</v>
      </c>
      <c r="U14" s="14">
        <f t="shared" si="12"/>
        <v>630056.31939108646</v>
      </c>
      <c r="V14" s="14">
        <f t="shared" si="12"/>
        <v>725400.8858827987</v>
      </c>
      <c r="W14" s="14">
        <f t="shared" si="12"/>
        <v>826161.03233952005</v>
      </c>
      <c r="X14" s="14">
        <f t="shared" si="12"/>
        <v>931398.97400934307</v>
      </c>
      <c r="Y14" s="14">
        <f t="shared" si="12"/>
        <v>1040747.8620565267</v>
      </c>
      <c r="Z14" s="14">
        <f t="shared" si="12"/>
        <v>1153640.9161841893</v>
      </c>
      <c r="AA14" s="14">
        <f t="shared" si="12"/>
        <v>1269555.7981350217</v>
      </c>
      <c r="AB14" s="14">
        <f t="shared" si="12"/>
        <v>1388213.8505492129</v>
      </c>
      <c r="AC14" s="14">
        <f t="shared" si="12"/>
        <v>1509182.6581534189</v>
      </c>
      <c r="AD14" s="14">
        <f t="shared" si="12"/>
        <v>1632142.8154320654</v>
      </c>
      <c r="AE14" s="14">
        <f t="shared" si="12"/>
        <v>1757045.0321230814</v>
      </c>
      <c r="AF14" s="14">
        <f t="shared" si="12"/>
        <v>1883777.4528073878</v>
      </c>
      <c r="AG14" s="14">
        <f t="shared" si="12"/>
        <v>2012074.1178507656</v>
      </c>
      <c r="AH14" s="14">
        <f t="shared" si="12"/>
        <v>2141839.5634435364</v>
      </c>
      <c r="AI14" s="14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4">
        <f t="shared" ref="D15:AI15" si="13">C15+SUMIFS(C$50:C$66,$A$50:$A$66,$A15)</f>
        <v>487233.18207889184</v>
      </c>
      <c r="E15" s="14">
        <f t="shared" si="13"/>
        <v>665367.16630593583</v>
      </c>
      <c r="F15" s="14">
        <f t="shared" si="13"/>
        <v>899526.18435149617</v>
      </c>
      <c r="G15" s="14">
        <f t="shared" si="13"/>
        <v>1204826.1038634274</v>
      </c>
      <c r="H15" s="14">
        <f t="shared" si="13"/>
        <v>1591711.4164817922</v>
      </c>
      <c r="I15" s="14">
        <f t="shared" si="13"/>
        <v>2087730.3345598183</v>
      </c>
      <c r="J15" s="14">
        <f t="shared" si="13"/>
        <v>2714806.4273488089</v>
      </c>
      <c r="K15" s="14">
        <f t="shared" si="13"/>
        <v>3523288.1464116303</v>
      </c>
      <c r="L15" s="14">
        <f t="shared" si="13"/>
        <v>4546951.6808073157</v>
      </c>
      <c r="M15" s="14">
        <f t="shared" si="13"/>
        <v>5837594.5320238806</v>
      </c>
      <c r="N15" s="14">
        <f t="shared" si="13"/>
        <v>7433971.7029471714</v>
      </c>
      <c r="O15" s="14">
        <f t="shared" si="13"/>
        <v>9362432.6082913987</v>
      </c>
      <c r="P15" s="14">
        <f t="shared" si="13"/>
        <v>11642613.920630198</v>
      </c>
      <c r="Q15" s="14">
        <f t="shared" si="13"/>
        <v>14293914.651561063</v>
      </c>
      <c r="R15" s="14">
        <f t="shared" si="13"/>
        <v>17334227.577223454</v>
      </c>
      <c r="S15" s="14">
        <f t="shared" si="13"/>
        <v>20739623.437611599</v>
      </c>
      <c r="T15" s="14">
        <f t="shared" si="13"/>
        <v>24483719.765822552</v>
      </c>
      <c r="U15" s="14">
        <f t="shared" si="13"/>
        <v>28536838.844200347</v>
      </c>
      <c r="V15" s="14">
        <f t="shared" si="13"/>
        <v>32870174.903306097</v>
      </c>
      <c r="W15" s="14">
        <f t="shared" si="13"/>
        <v>37449644.840899661</v>
      </c>
      <c r="X15" s="14">
        <f t="shared" si="13"/>
        <v>42232627.072651193</v>
      </c>
      <c r="Y15" s="14">
        <f t="shared" si="13"/>
        <v>47202448.605576903</v>
      </c>
      <c r="Z15" s="14">
        <f t="shared" si="13"/>
        <v>52333349.717980631</v>
      </c>
      <c r="AA15" s="14">
        <f t="shared" si="13"/>
        <v>57601590.544144437</v>
      </c>
      <c r="AB15" s="14">
        <f t="shared" si="13"/>
        <v>62994506.324765973</v>
      </c>
      <c r="AC15" s="14">
        <f t="shared" si="13"/>
        <v>68492444.123496205</v>
      </c>
      <c r="AD15" s="14">
        <f t="shared" si="13"/>
        <v>74080887.209187821</v>
      </c>
      <c r="AE15" s="14">
        <f t="shared" si="13"/>
        <v>79757595.377937704</v>
      </c>
      <c r="AF15" s="14">
        <f t="shared" si="13"/>
        <v>85517484.888335764</v>
      </c>
      <c r="AG15" s="14">
        <f t="shared" si="13"/>
        <v>91348468.082787722</v>
      </c>
      <c r="AH15" s="14">
        <f t="shared" si="13"/>
        <v>97246206.205724791</v>
      </c>
      <c r="AI15" s="14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4">
        <f t="shared" ref="D16:AI16" si="14">C16+SUMIFS(C$50:C$66,$A$50:$A$66,$A16)</f>
        <v>113027.47345922839</v>
      </c>
      <c r="E16" s="14">
        <f t="shared" si="14"/>
        <v>135873.32917591039</v>
      </c>
      <c r="F16" s="14">
        <f t="shared" si="14"/>
        <v>165904.4496509929</v>
      </c>
      <c r="G16" s="14">
        <f t="shared" si="14"/>
        <v>205059.45952599967</v>
      </c>
      <c r="H16" s="14">
        <f t="shared" si="14"/>
        <v>254677.87495265406</v>
      </c>
      <c r="I16" s="14">
        <f t="shared" si="14"/>
        <v>318292.78080190462</v>
      </c>
      <c r="J16" s="14">
        <f t="shared" si="14"/>
        <v>398715.89602835343</v>
      </c>
      <c r="K16" s="14">
        <f t="shared" si="14"/>
        <v>502404.45822736865</v>
      </c>
      <c r="L16" s="14">
        <f t="shared" si="14"/>
        <v>633690.29630431253</v>
      </c>
      <c r="M16" s="14">
        <f t="shared" si="14"/>
        <v>799216.48990855471</v>
      </c>
      <c r="N16" s="14">
        <f t="shared" si="14"/>
        <v>1003953.4056328121</v>
      </c>
      <c r="O16" s="14">
        <f t="shared" si="14"/>
        <v>1251280.3813916997</v>
      </c>
      <c r="P16" s="14">
        <f t="shared" si="14"/>
        <v>1543715.8394296847</v>
      </c>
      <c r="Q16" s="14">
        <f t="shared" si="14"/>
        <v>1883747.7217412479</v>
      </c>
      <c r="R16" s="14">
        <f t="shared" si="14"/>
        <v>2273670.7941669826</v>
      </c>
      <c r="S16" s="14">
        <f t="shared" si="14"/>
        <v>2710416.1059737029</v>
      </c>
      <c r="T16" s="14">
        <f t="shared" si="14"/>
        <v>3190600.0802716305</v>
      </c>
      <c r="U16" s="14">
        <f t="shared" si="14"/>
        <v>3710416.5210756995</v>
      </c>
      <c r="V16" s="14">
        <f t="shared" si="14"/>
        <v>4266171.0606027814</v>
      </c>
      <c r="W16" s="14">
        <f t="shared" si="14"/>
        <v>4853492.5080352798</v>
      </c>
      <c r="X16" s="14">
        <f t="shared" si="14"/>
        <v>5466914.6039716471</v>
      </c>
      <c r="Y16" s="14">
        <f t="shared" si="14"/>
        <v>6104299.0209404258</v>
      </c>
      <c r="Z16" s="14">
        <f t="shared" si="14"/>
        <v>6762342.049726747</v>
      </c>
      <c r="AA16" s="14">
        <f t="shared" si="14"/>
        <v>7437999.029597966</v>
      </c>
      <c r="AB16" s="14">
        <f t="shared" si="14"/>
        <v>8129645.6929278728</v>
      </c>
      <c r="AC16" s="14">
        <f t="shared" si="14"/>
        <v>8834761.5316270776</v>
      </c>
      <c r="AD16" s="14">
        <f t="shared" si="14"/>
        <v>9551484.7608895637</v>
      </c>
      <c r="AE16" s="14">
        <f t="shared" si="14"/>
        <v>10279528.072398681</v>
      </c>
      <c r="AF16" s="14">
        <f t="shared" si="14"/>
        <v>11018239.471403064</v>
      </c>
      <c r="AG16" s="14">
        <f t="shared" si="14"/>
        <v>11766068.704128567</v>
      </c>
      <c r="AH16" s="14">
        <f t="shared" si="14"/>
        <v>12522459.320978304</v>
      </c>
      <c r="AI16" s="14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4">
        <f t="shared" ref="D17:AI17" si="15">C17+SUMIFS(C$50:C$66,$A$50:$A$66,$A17)</f>
        <v>16945.987933553381</v>
      </c>
      <c r="E17" s="14">
        <f t="shared" si="15"/>
        <v>21621.717953573941</v>
      </c>
      <c r="F17" s="14">
        <f t="shared" si="15"/>
        <v>27768.014826037554</v>
      </c>
      <c r="G17" s="14">
        <f t="shared" si="15"/>
        <v>35781.645717223095</v>
      </c>
      <c r="H17" s="14">
        <f t="shared" si="15"/>
        <v>45936.761701206648</v>
      </c>
      <c r="I17" s="14">
        <f t="shared" si="15"/>
        <v>58956.458957848605</v>
      </c>
      <c r="J17" s="14">
        <f t="shared" si="15"/>
        <v>75416.195849791678</v>
      </c>
      <c r="K17" s="14">
        <f t="shared" si="15"/>
        <v>96637.538093176772</v>
      </c>
      <c r="L17" s="14">
        <f t="shared" si="15"/>
        <v>123507.05621990151</v>
      </c>
      <c r="M17" s="14">
        <f t="shared" si="15"/>
        <v>157384.35117147339</v>
      </c>
      <c r="N17" s="14">
        <f t="shared" si="15"/>
        <v>199286.67931930089</v>
      </c>
      <c r="O17" s="14">
        <f t="shared" si="15"/>
        <v>249905.67033710296</v>
      </c>
      <c r="P17" s="14">
        <f t="shared" si="15"/>
        <v>309756.75523510634</v>
      </c>
      <c r="Q17" s="14">
        <f t="shared" si="15"/>
        <v>379349.1268059088</v>
      </c>
      <c r="R17" s="14">
        <f t="shared" si="15"/>
        <v>459152.44158865866</v>
      </c>
      <c r="S17" s="14">
        <f t="shared" si="15"/>
        <v>548538.59507061308</v>
      </c>
      <c r="T17" s="14">
        <f t="shared" si="15"/>
        <v>646815.09001136303</v>
      </c>
      <c r="U17" s="14">
        <f t="shared" si="15"/>
        <v>753202.93414858507</v>
      </c>
      <c r="V17" s="14">
        <f t="shared" si="15"/>
        <v>866946.02245549485</v>
      </c>
      <c r="W17" s="14">
        <f t="shared" si="15"/>
        <v>987149.72842378658</v>
      </c>
      <c r="X17" s="14">
        <f t="shared" si="15"/>
        <v>1112695.3041502084</v>
      </c>
      <c r="Y17" s="14">
        <f t="shared" si="15"/>
        <v>1243145.1104377469</v>
      </c>
      <c r="Z17" s="14">
        <f t="shared" si="15"/>
        <v>1377822.996104107</v>
      </c>
      <c r="AA17" s="14">
        <f t="shared" si="15"/>
        <v>1516105.8279313892</v>
      </c>
      <c r="AB17" s="14">
        <f t="shared" si="15"/>
        <v>1657661.1763973814</v>
      </c>
      <c r="AC17" s="14">
        <f t="shared" si="15"/>
        <v>1801973.1835939616</v>
      </c>
      <c r="AD17" s="14">
        <f t="shared" si="15"/>
        <v>1948660.8087224721</v>
      </c>
      <c r="AE17" s="14">
        <f t="shared" si="15"/>
        <v>2097665.2500405824</v>
      </c>
      <c r="AF17" s="14">
        <f t="shared" si="15"/>
        <v>2248853.0675288136</v>
      </c>
      <c r="AG17" s="14">
        <f t="shared" si="15"/>
        <v>2401906.9796547806</v>
      </c>
      <c r="AH17" s="14">
        <f t="shared" si="15"/>
        <v>2556713.1010767817</v>
      </c>
      <c r="AI17" s="14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4">
        <f t="shared" ref="D18:AI18" si="16">C18+SUMIFS(C$50:C$66,$A$50:$A$66,$A18)</f>
        <v>12019.801201233699</v>
      </c>
      <c r="E18" s="14">
        <f t="shared" si="16"/>
        <v>15969.82852659488</v>
      </c>
      <c r="F18" s="14">
        <f t="shared" si="16"/>
        <v>21162.181483685948</v>
      </c>
      <c r="G18" s="14">
        <f t="shared" si="16"/>
        <v>27932.046480168821</v>
      </c>
      <c r="H18" s="14">
        <f t="shared" si="16"/>
        <v>36511.024619879878</v>
      </c>
      <c r="I18" s="14">
        <f t="shared" si="16"/>
        <v>47509.983009577409</v>
      </c>
      <c r="J18" s="14">
        <f t="shared" si="16"/>
        <v>61415.065256209084</v>
      </c>
      <c r="K18" s="14">
        <f t="shared" si="16"/>
        <v>79342.721768302581</v>
      </c>
      <c r="L18" s="14">
        <f t="shared" si="16"/>
        <v>102041.92175748065</v>
      </c>
      <c r="M18" s="14">
        <f t="shared" si="16"/>
        <v>130661.24755153942</v>
      </c>
      <c r="N18" s="14">
        <f t="shared" si="16"/>
        <v>166060.07093771984</v>
      </c>
      <c r="O18" s="14">
        <f t="shared" si="16"/>
        <v>208822.67631621668</v>
      </c>
      <c r="P18" s="14">
        <f t="shared" si="16"/>
        <v>259384.49656403877</v>
      </c>
      <c r="Q18" s="14">
        <f t="shared" si="16"/>
        <v>318175.69455116068</v>
      </c>
      <c r="R18" s="14">
        <f t="shared" si="16"/>
        <v>385593.03316920082</v>
      </c>
      <c r="S18" s="14">
        <f t="shared" si="16"/>
        <v>461105.89367458475</v>
      </c>
      <c r="T18" s="14">
        <f t="shared" si="16"/>
        <v>544129.25875223207</v>
      </c>
      <c r="U18" s="14">
        <f t="shared" si="16"/>
        <v>634005.04063632921</v>
      </c>
      <c r="V18" s="14">
        <f t="shared" si="16"/>
        <v>730094.48655375792</v>
      </c>
      <c r="W18" s="14">
        <f t="shared" si="16"/>
        <v>831641.82165467239</v>
      </c>
      <c r="X18" s="14">
        <f t="shared" si="16"/>
        <v>937701.93474379089</v>
      </c>
      <c r="Y18" s="14">
        <f t="shared" si="16"/>
        <v>1047905.1109788431</v>
      </c>
      <c r="Z18" s="14">
        <f t="shared" si="16"/>
        <v>1161680.142091878</v>
      </c>
      <c r="AA18" s="14">
        <f t="shared" si="16"/>
        <v>1278500.6090579513</v>
      </c>
      <c r="AB18" s="14">
        <f t="shared" si="16"/>
        <v>1398085.6775066282</v>
      </c>
      <c r="AC18" s="14">
        <f t="shared" si="16"/>
        <v>1519999.5539202422</v>
      </c>
      <c r="AD18" s="14">
        <f t="shared" si="16"/>
        <v>1643920.3374276282</v>
      </c>
      <c r="AE18" s="14">
        <f t="shared" si="16"/>
        <v>1769798.3526865428</v>
      </c>
      <c r="AF18" s="14">
        <f t="shared" si="16"/>
        <v>1897520.8704074454</v>
      </c>
      <c r="AG18" s="14">
        <f t="shared" si="16"/>
        <v>2026819.8531464746</v>
      </c>
      <c r="AH18" s="14">
        <f t="shared" si="16"/>
        <v>2157599.0912829391</v>
      </c>
      <c r="AI18" s="14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4">
        <f t="shared" ref="D19:AI19" si="17">C19+SUMIFS(C$50:C$66,$A$50:$A$66,$A19)</f>
        <v>3924.6625723716279</v>
      </c>
      <c r="E19" s="14">
        <f t="shared" si="17"/>
        <v>7795.0769438882999</v>
      </c>
      <c r="F19" s="14">
        <f t="shared" si="17"/>
        <v>12882.777825875237</v>
      </c>
      <c r="G19" s="14">
        <f t="shared" si="17"/>
        <v>19516.19593095631</v>
      </c>
      <c r="H19" s="14">
        <f t="shared" si="17"/>
        <v>27922.264433742996</v>
      </c>
      <c r="I19" s="14">
        <f t="shared" si="17"/>
        <v>38699.53839078013</v>
      </c>
      <c r="J19" s="14">
        <f t="shared" si="17"/>
        <v>52324.363165774412</v>
      </c>
      <c r="K19" s="14">
        <f t="shared" si="17"/>
        <v>69890.687065996492</v>
      </c>
      <c r="L19" s="14">
        <f t="shared" si="17"/>
        <v>92132.383799578558</v>
      </c>
      <c r="M19" s="14">
        <f t="shared" si="17"/>
        <v>120174.88597298184</v>
      </c>
      <c r="N19" s="14">
        <f t="shared" si="17"/>
        <v>154860.24470176644</v>
      </c>
      <c r="O19" s="14">
        <f t="shared" si="17"/>
        <v>196760.96811139447</v>
      </c>
      <c r="P19" s="14">
        <f t="shared" si="17"/>
        <v>246303.71291236163</v>
      </c>
      <c r="Q19" s="14">
        <f t="shared" si="17"/>
        <v>303909.97202532506</v>
      </c>
      <c r="R19" s="14">
        <f t="shared" si="17"/>
        <v>369968.51157044386</v>
      </c>
      <c r="S19" s="14">
        <f t="shared" si="17"/>
        <v>443959.4074454871</v>
      </c>
      <c r="T19" s="14">
        <f t="shared" si="17"/>
        <v>525309.43338203384</v>
      </c>
      <c r="U19" s="14">
        <f t="shared" si="17"/>
        <v>613373.76539870026</v>
      </c>
      <c r="V19" s="14">
        <f t="shared" si="17"/>
        <v>707526.52480926597</v>
      </c>
      <c r="W19" s="14">
        <f t="shared" si="17"/>
        <v>807027.16943527618</v>
      </c>
      <c r="X19" s="14">
        <f t="shared" si="17"/>
        <v>910949.63683422701</v>
      </c>
      <c r="Y19" s="14">
        <f t="shared" si="17"/>
        <v>1018931.6637808201</v>
      </c>
      <c r="Z19" s="14">
        <f t="shared" si="17"/>
        <v>1130413.5547318892</v>
      </c>
      <c r="AA19" s="14">
        <f t="shared" si="17"/>
        <v>1244879.5006583338</v>
      </c>
      <c r="AB19" s="14">
        <f t="shared" si="17"/>
        <v>1362054.3274173462</v>
      </c>
      <c r="AC19" s="14">
        <f t="shared" si="17"/>
        <v>1481511.024926499</v>
      </c>
      <c r="AD19" s="14">
        <f t="shared" si="17"/>
        <v>1602934.1802391619</v>
      </c>
      <c r="AE19" s="14">
        <f t="shared" si="17"/>
        <v>1726275.1192215425</v>
      </c>
      <c r="AF19" s="14">
        <f t="shared" si="17"/>
        <v>1851423.3846472953</v>
      </c>
      <c r="AG19" s="14">
        <f t="shared" si="17"/>
        <v>1978116.3413776294</v>
      </c>
      <c r="AH19" s="14">
        <f t="shared" si="17"/>
        <v>2106259.7189004929</v>
      </c>
      <c r="AI19" s="14">
        <f t="shared" si="17"/>
        <v>2235598.1774976109</v>
      </c>
    </row>
    <row r="21" spans="1:35" ht="15.75" customHeight="1" x14ac:dyDescent="0.65"/>
    <row r="22" spans="1:35" ht="15.75" customHeight="1" x14ac:dyDescent="0.75">
      <c r="A22" s="33" t="s">
        <v>178</v>
      </c>
      <c r="B22" s="49" t="s">
        <v>179</v>
      </c>
      <c r="G22" s="32"/>
      <c r="H22" s="33" t="s">
        <v>279</v>
      </c>
      <c r="I22" s="34"/>
      <c r="J22" s="35"/>
      <c r="K22" s="7" t="s">
        <v>180</v>
      </c>
    </row>
    <row r="23" spans="1:35" ht="15.75" customHeight="1" x14ac:dyDescent="0.75">
      <c r="A23" s="32" t="s">
        <v>162</v>
      </c>
      <c r="B23" s="50">
        <v>1.3942246992406615E-2</v>
      </c>
      <c r="G23" s="33" t="s">
        <v>178</v>
      </c>
      <c r="H23" s="32" t="s">
        <v>181</v>
      </c>
      <c r="I23" s="36" t="s">
        <v>182</v>
      </c>
      <c r="J23" s="37" t="s">
        <v>183</v>
      </c>
      <c r="K23" s="7">
        <f t="shared" ref="K23:K41" si="18">SUM(H23:J23)</f>
        <v>0</v>
      </c>
    </row>
    <row r="24" spans="1:35" ht="15.75" customHeight="1" x14ac:dyDescent="0.75">
      <c r="A24" s="41" t="s">
        <v>163</v>
      </c>
      <c r="B24" s="51">
        <v>5.0817957181249214E-2</v>
      </c>
      <c r="G24" s="32" t="s">
        <v>162</v>
      </c>
      <c r="H24" s="38">
        <v>175</v>
      </c>
      <c r="I24" s="39">
        <v>210</v>
      </c>
      <c r="J24" s="40">
        <v>45</v>
      </c>
      <c r="K24" s="7">
        <f t="shared" si="18"/>
        <v>430</v>
      </c>
    </row>
    <row r="25" spans="1:35" ht="15.75" customHeight="1" x14ac:dyDescent="0.75">
      <c r="A25" s="41" t="s">
        <v>164</v>
      </c>
      <c r="B25" s="51">
        <v>2.4529697166459246E-3</v>
      </c>
      <c r="G25" s="41" t="s">
        <v>163</v>
      </c>
      <c r="H25" s="42">
        <v>997</v>
      </c>
      <c r="I25" s="43">
        <v>1111</v>
      </c>
      <c r="J25" s="44">
        <v>1147</v>
      </c>
      <c r="K25" s="7">
        <f t="shared" si="18"/>
        <v>3255</v>
      </c>
    </row>
    <row r="26" spans="1:35" ht="15.75" customHeight="1" x14ac:dyDescent="0.75">
      <c r="A26" s="41" t="s">
        <v>165</v>
      </c>
      <c r="B26" s="51">
        <v>2.6432552351063253E-2</v>
      </c>
      <c r="G26" s="41" t="s">
        <v>164</v>
      </c>
      <c r="H26" s="42">
        <v>72</v>
      </c>
      <c r="I26" s="43">
        <v>87</v>
      </c>
      <c r="J26" s="44">
        <v>33</v>
      </c>
      <c r="K26" s="7">
        <f t="shared" si="18"/>
        <v>192</v>
      </c>
    </row>
    <row r="27" spans="1:35" ht="15.75" customHeight="1" x14ac:dyDescent="0.75">
      <c r="A27" s="41" t="s">
        <v>166</v>
      </c>
      <c r="B27" s="51">
        <v>0.10924733510091446</v>
      </c>
      <c r="G27" s="41" t="s">
        <v>165</v>
      </c>
      <c r="H27" s="42">
        <v>557</v>
      </c>
      <c r="I27" s="43">
        <v>573</v>
      </c>
      <c r="J27" s="44">
        <v>611</v>
      </c>
      <c r="K27" s="7">
        <f t="shared" si="18"/>
        <v>1741</v>
      </c>
    </row>
    <row r="28" spans="1:35" ht="15.75" customHeight="1" x14ac:dyDescent="0.75">
      <c r="A28" s="41" t="s">
        <v>161</v>
      </c>
      <c r="B28" s="51">
        <v>5.3397182692134261E-2</v>
      </c>
      <c r="G28" s="41" t="s">
        <v>166</v>
      </c>
      <c r="H28" s="42">
        <v>2044</v>
      </c>
      <c r="I28" s="43">
        <v>2430</v>
      </c>
      <c r="J28" s="44">
        <v>3782</v>
      </c>
      <c r="K28" s="7">
        <f t="shared" si="18"/>
        <v>8256</v>
      </c>
    </row>
    <row r="29" spans="1:35" ht="15.75" customHeight="1" x14ac:dyDescent="0.75">
      <c r="A29" s="41" t="s">
        <v>167</v>
      </c>
      <c r="B29" s="51">
        <v>8.9280883069097986E-3</v>
      </c>
      <c r="G29" s="41" t="s">
        <v>161</v>
      </c>
      <c r="H29" s="42">
        <v>1270</v>
      </c>
      <c r="I29" s="43">
        <v>1281</v>
      </c>
      <c r="J29" s="44">
        <v>1403</v>
      </c>
      <c r="K29" s="7">
        <f t="shared" si="18"/>
        <v>3954</v>
      </c>
    </row>
    <row r="30" spans="1:35" ht="15.75" customHeight="1" x14ac:dyDescent="0.75">
      <c r="A30" s="41" t="s">
        <v>184</v>
      </c>
      <c r="B30" s="51">
        <v>9.6766048013274888E-3</v>
      </c>
      <c r="G30" s="41" t="s">
        <v>167</v>
      </c>
      <c r="H30" s="42">
        <v>111</v>
      </c>
      <c r="I30" s="43">
        <v>173</v>
      </c>
      <c r="J30" s="44">
        <v>256</v>
      </c>
      <c r="K30" s="7">
        <f t="shared" si="18"/>
        <v>540</v>
      </c>
    </row>
    <row r="31" spans="1:35" ht="15.75" customHeight="1" x14ac:dyDescent="0.75">
      <c r="A31" s="41" t="s">
        <v>168</v>
      </c>
      <c r="B31" s="51">
        <v>1.6277979185830491E-2</v>
      </c>
      <c r="G31" s="41" t="s">
        <v>184</v>
      </c>
      <c r="H31" s="42">
        <v>210</v>
      </c>
      <c r="I31" s="43">
        <v>186</v>
      </c>
      <c r="J31" s="44">
        <v>212</v>
      </c>
      <c r="K31" s="7">
        <f t="shared" si="18"/>
        <v>608</v>
      </c>
    </row>
    <row r="32" spans="1:35" ht="15.75" customHeight="1" x14ac:dyDescent="0.75">
      <c r="A32" s="41" t="s">
        <v>169</v>
      </c>
      <c r="B32" s="51">
        <v>2.5224104034774451E-2</v>
      </c>
      <c r="G32" s="41" t="s">
        <v>168</v>
      </c>
      <c r="H32" s="42">
        <v>309</v>
      </c>
      <c r="I32" s="43">
        <v>517</v>
      </c>
      <c r="J32" s="44">
        <v>240</v>
      </c>
      <c r="K32" s="7">
        <f t="shared" si="18"/>
        <v>1066</v>
      </c>
    </row>
    <row r="33" spans="1:35" ht="15.75" customHeight="1" x14ac:dyDescent="0.75">
      <c r="A33" s="41" t="s">
        <v>170</v>
      </c>
      <c r="B33" s="51">
        <v>9.2527460635247003E-3</v>
      </c>
      <c r="G33" s="41" t="s">
        <v>169</v>
      </c>
      <c r="H33" s="42">
        <v>398</v>
      </c>
      <c r="I33" s="43">
        <v>382</v>
      </c>
      <c r="J33" s="44">
        <v>532</v>
      </c>
      <c r="K33" s="7">
        <f t="shared" si="18"/>
        <v>1312</v>
      </c>
    </row>
    <row r="34" spans="1:35" ht="15.75" customHeight="1" x14ac:dyDescent="0.75">
      <c r="A34" s="41" t="s">
        <v>171</v>
      </c>
      <c r="B34" s="51">
        <v>4.3756650974875098E-2</v>
      </c>
      <c r="G34" s="41" t="s">
        <v>170</v>
      </c>
      <c r="H34" s="42">
        <v>133</v>
      </c>
      <c r="I34" s="43">
        <v>157</v>
      </c>
      <c r="J34" s="44">
        <v>341</v>
      </c>
      <c r="K34" s="7">
        <f t="shared" si="18"/>
        <v>631</v>
      </c>
    </row>
    <row r="35" spans="1:35" ht="15.75" customHeight="1" x14ac:dyDescent="0.75">
      <c r="A35" s="41" t="s">
        <v>172</v>
      </c>
      <c r="B35" s="51">
        <v>1.1543386901863175E-2</v>
      </c>
      <c r="G35" s="41" t="s">
        <v>171</v>
      </c>
      <c r="H35" s="42">
        <v>717</v>
      </c>
      <c r="I35" s="43">
        <v>654</v>
      </c>
      <c r="J35" s="44">
        <v>1314</v>
      </c>
      <c r="K35" s="7">
        <f t="shared" si="18"/>
        <v>2685</v>
      </c>
    </row>
    <row r="36" spans="1:35" ht="15.75" customHeight="1" x14ac:dyDescent="0.75">
      <c r="A36" s="41" t="s">
        <v>185</v>
      </c>
      <c r="B36" s="51">
        <v>1.7224897642623956E-3</v>
      </c>
      <c r="G36" s="41" t="s">
        <v>172</v>
      </c>
      <c r="H36" s="42">
        <v>215</v>
      </c>
      <c r="I36" s="43">
        <v>255</v>
      </c>
      <c r="J36" s="44">
        <v>310</v>
      </c>
      <c r="K36" s="7">
        <f t="shared" si="18"/>
        <v>780</v>
      </c>
    </row>
    <row r="37" spans="1:35" ht="15.75" customHeight="1" x14ac:dyDescent="0.75">
      <c r="A37" s="41" t="s">
        <v>173</v>
      </c>
      <c r="B37" s="51">
        <v>0.5246379164186642</v>
      </c>
      <c r="G37" s="41" t="s">
        <v>185</v>
      </c>
      <c r="H37" s="42"/>
      <c r="I37" s="43">
        <v>27</v>
      </c>
      <c r="J37" s="44">
        <v>52</v>
      </c>
      <c r="K37" s="7">
        <f t="shared" si="18"/>
        <v>79</v>
      </c>
    </row>
    <row r="38" spans="1:35" ht="15.75" customHeight="1" x14ac:dyDescent="0.75">
      <c r="A38" s="41" t="s">
        <v>174</v>
      </c>
      <c r="B38" s="51">
        <v>6.7285320058438403E-2</v>
      </c>
      <c r="G38" s="41" t="s">
        <v>173</v>
      </c>
      <c r="H38" s="42">
        <v>8000</v>
      </c>
      <c r="I38" s="43">
        <v>7275</v>
      </c>
      <c r="J38" s="44">
        <v>14625</v>
      </c>
      <c r="K38" s="7">
        <f t="shared" si="18"/>
        <v>29900</v>
      </c>
    </row>
    <row r="39" spans="1:35" ht="15.75" customHeight="1" x14ac:dyDescent="0.75">
      <c r="A39" s="41" t="s">
        <v>176</v>
      </c>
      <c r="B39" s="51">
        <v>1.1633569612033981E-2</v>
      </c>
      <c r="G39" s="41" t="s">
        <v>174</v>
      </c>
      <c r="H39" s="42">
        <v>1123</v>
      </c>
      <c r="I39" s="43">
        <v>1205</v>
      </c>
      <c r="J39" s="44">
        <v>1820</v>
      </c>
      <c r="K39" s="7">
        <f t="shared" si="18"/>
        <v>4148</v>
      </c>
    </row>
    <row r="40" spans="1:35" ht="15.75" customHeight="1" x14ac:dyDescent="0.75">
      <c r="A40" s="41" t="s">
        <v>175</v>
      </c>
      <c r="B40" s="51">
        <v>1.3770899843082085E-2</v>
      </c>
      <c r="G40" s="41" t="s">
        <v>176</v>
      </c>
      <c r="H40" s="42">
        <v>220</v>
      </c>
      <c r="I40" s="43">
        <v>250</v>
      </c>
      <c r="J40" s="44">
        <v>335</v>
      </c>
      <c r="K40" s="7">
        <f t="shared" si="18"/>
        <v>805</v>
      </c>
    </row>
    <row r="41" spans="1:35" ht="15.75" customHeight="1" x14ac:dyDescent="0.75">
      <c r="A41" s="52" t="s">
        <v>186</v>
      </c>
      <c r="B41" s="53">
        <v>1</v>
      </c>
      <c r="G41" s="45" t="s">
        <v>175</v>
      </c>
      <c r="H41" s="46">
        <v>164</v>
      </c>
      <c r="I41" s="47">
        <v>118</v>
      </c>
      <c r="J41" s="48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5">
        <v>169485</v>
      </c>
      <c r="J46" s="15">
        <v>211638</v>
      </c>
      <c r="K46" s="15">
        <v>263571</v>
      </c>
      <c r="L46" s="15">
        <v>325674</v>
      </c>
      <c r="M46" s="15">
        <v>397137</v>
      </c>
      <c r="N46" s="15">
        <v>476514</v>
      </c>
      <c r="O46" s="15">
        <v>562140</v>
      </c>
      <c r="P46" s="15">
        <v>649512</v>
      </c>
      <c r="Q46" s="15">
        <v>734349</v>
      </c>
      <c r="R46" s="15">
        <v>813495</v>
      </c>
      <c r="S46" s="15">
        <v>884814</v>
      </c>
      <c r="T46" s="15">
        <v>949065</v>
      </c>
      <c r="U46" s="15">
        <v>1001800</v>
      </c>
      <c r="V46" s="15">
        <v>1048420</v>
      </c>
      <c r="W46" s="15">
        <v>1086810</v>
      </c>
      <c r="X46" s="15">
        <v>1118370</v>
      </c>
      <c r="Y46" s="15">
        <v>1143410</v>
      </c>
      <c r="Z46" s="15">
        <v>1161950</v>
      </c>
      <c r="AA46" s="15">
        <v>1177500</v>
      </c>
      <c r="AB46" s="15">
        <v>1189300</v>
      </c>
      <c r="AC46" s="15">
        <v>1197960</v>
      </c>
      <c r="AD46" s="15">
        <v>1207640</v>
      </c>
      <c r="AE46" s="15">
        <v>1214710</v>
      </c>
      <c r="AF46" s="15">
        <v>1219410</v>
      </c>
      <c r="AG46" s="15">
        <v>1223140</v>
      </c>
      <c r="AH46" s="15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5">
        <v>1025770</v>
      </c>
      <c r="J47" s="15">
        <v>1329390</v>
      </c>
      <c r="K47" s="15">
        <v>1687610</v>
      </c>
      <c r="L47" s="15">
        <v>2134390</v>
      </c>
      <c r="M47" s="15">
        <v>2645680</v>
      </c>
      <c r="N47" s="15">
        <v>3199280</v>
      </c>
      <c r="O47" s="15">
        <v>3784060</v>
      </c>
      <c r="P47" s="15">
        <v>4404070</v>
      </c>
      <c r="Q47" s="15">
        <v>5060720</v>
      </c>
      <c r="R47" s="15">
        <v>5677450</v>
      </c>
      <c r="S47" s="15">
        <v>6251720</v>
      </c>
      <c r="T47" s="15">
        <v>6776490</v>
      </c>
      <c r="U47" s="15">
        <v>7257870</v>
      </c>
      <c r="V47" s="15">
        <v>7680400</v>
      </c>
      <c r="W47" s="15">
        <v>8029920</v>
      </c>
      <c r="X47" s="15">
        <v>8354490</v>
      </c>
      <c r="Y47" s="15">
        <v>8636480</v>
      </c>
      <c r="Z47" s="15">
        <v>8879720</v>
      </c>
      <c r="AA47" s="15">
        <v>9101810</v>
      </c>
      <c r="AB47" s="15">
        <v>9290190</v>
      </c>
      <c r="AC47" s="15">
        <v>9454040</v>
      </c>
      <c r="AD47" s="15">
        <v>9612600</v>
      </c>
      <c r="AE47" s="15">
        <v>9764080</v>
      </c>
      <c r="AF47" s="15">
        <v>9894890</v>
      </c>
      <c r="AG47" s="15">
        <v>10018400</v>
      </c>
      <c r="AH47" s="15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4">
        <f t="shared" ref="B50:K59" si="19">SUM(B$46:B$47)*INDEX($B$23:$B$40,MATCH($A50,$A$23:$A$40,0),1)</f>
        <v>10191.386288620744</v>
      </c>
      <c r="C50" s="14">
        <f t="shared" si="19"/>
        <v>13695.416211243979</v>
      </c>
      <c r="D50" s="14">
        <f t="shared" si="19"/>
        <v>18130.319219739191</v>
      </c>
      <c r="E50" s="14">
        <f t="shared" si="19"/>
        <v>23832.497565066824</v>
      </c>
      <c r="F50" s="14">
        <f t="shared" si="19"/>
        <v>31073.155538120231</v>
      </c>
      <c r="G50" s="14">
        <f t="shared" si="19"/>
        <v>39376.844624208643</v>
      </c>
      <c r="H50" s="14">
        <f t="shared" si="19"/>
        <v>50484.36637627834</v>
      </c>
      <c r="I50" s="14">
        <f t="shared" si="19"/>
        <v>63823.249598686933</v>
      </c>
      <c r="J50" s="14">
        <f t="shared" si="19"/>
        <v>82286.55364969428</v>
      </c>
      <c r="K50" s="14">
        <f t="shared" si="19"/>
        <v>104187.56832242123</v>
      </c>
      <c r="L50" s="14">
        <f t="shared" ref="L50:U59" si="20">SUM(L$46:L$47)*INDEX($B$23:$B$40,MATCH($A50,$A$23:$A$40,0),1)</f>
        <v>131360.48684234257</v>
      </c>
      <c r="M50" s="14">
        <f t="shared" si="20"/>
        <v>162477.8552477319</v>
      </c>
      <c r="N50" s="14">
        <f t="shared" si="20"/>
        <v>196277.04375665096</v>
      </c>
      <c r="O50" s="14">
        <f t="shared" si="20"/>
        <v>232074.83541655392</v>
      </c>
      <c r="P50" s="14">
        <f t="shared" si="20"/>
        <v>269847.04130368127</v>
      </c>
      <c r="Q50" s="14">
        <f t="shared" si="20"/>
        <v>309440.35810652381</v>
      </c>
      <c r="R50" s="14">
        <f t="shared" si="20"/>
        <v>346598.17600959539</v>
      </c>
      <c r="S50" s="14">
        <f t="shared" si="20"/>
        <v>381070.80978662771</v>
      </c>
      <c r="T50" s="14">
        <f t="shared" si="20"/>
        <v>412522.87173313129</v>
      </c>
      <c r="U50" s="14">
        <f t="shared" si="20"/>
        <v>441043.10796674062</v>
      </c>
      <c r="V50" s="14">
        <f t="shared" ref="V50:AH59" si="21">SUM(V$46:V$47)*INDEX($B$23:$B$40,MATCH($A50,$A$23:$A$40,0),1)</f>
        <v>466094.3962267554</v>
      </c>
      <c r="W50" s="14">
        <f t="shared" si="21"/>
        <v>486807.6973648612</v>
      </c>
      <c r="X50" s="14">
        <f t="shared" si="21"/>
        <v>505824.03603701096</v>
      </c>
      <c r="Y50" s="14">
        <f t="shared" si="21"/>
        <v>522218.57303897693</v>
      </c>
      <c r="Z50" s="14">
        <f t="shared" si="21"/>
        <v>536196.88752412389</v>
      </c>
      <c r="AA50" s="14">
        <f t="shared" si="21"/>
        <v>548886.19401908258</v>
      </c>
      <c r="AB50" s="14">
        <f t="shared" si="21"/>
        <v>559575.24205039407</v>
      </c>
      <c r="AC50" s="14">
        <f t="shared" si="21"/>
        <v>568786.79003661417</v>
      </c>
      <c r="AD50" s="14">
        <f t="shared" si="21"/>
        <v>577770.33205273887</v>
      </c>
      <c r="AE50" s="14">
        <f t="shared" si="21"/>
        <v>586236.45536857669</v>
      </c>
      <c r="AF50" s="14">
        <f t="shared" si="21"/>
        <v>593472.3075951878</v>
      </c>
      <c r="AG50" s="14">
        <f t="shared" si="21"/>
        <v>600266.56512093497</v>
      </c>
      <c r="AH50" s="14">
        <f t="shared" si="21"/>
        <v>605864.72575437836</v>
      </c>
    </row>
    <row r="51" spans="1:34" ht="15.75" customHeight="1" x14ac:dyDescent="0.75">
      <c r="A51" s="7" t="s">
        <v>162</v>
      </c>
      <c r="B51" s="14">
        <f t="shared" si="19"/>
        <v>2661.0172609707265</v>
      </c>
      <c r="C51" s="14">
        <f t="shared" si="19"/>
        <v>3575.9353931064334</v>
      </c>
      <c r="D51" s="14">
        <f t="shared" si="19"/>
        <v>4733.9087170607654</v>
      </c>
      <c r="E51" s="14">
        <f t="shared" si="19"/>
        <v>6222.7733888858829</v>
      </c>
      <c r="F51" s="14">
        <f t="shared" si="19"/>
        <v>8113.3420810562193</v>
      </c>
      <c r="G51" s="14">
        <f t="shared" si="19"/>
        <v>10281.473026351388</v>
      </c>
      <c r="H51" s="14">
        <f t="shared" si="19"/>
        <v>13181.697418970834</v>
      </c>
      <c r="I51" s="14">
        <f t="shared" si="19"/>
        <v>16664.540428908967</v>
      </c>
      <c r="J51" s="14">
        <f t="shared" si="19"/>
        <v>21485.392998214382</v>
      </c>
      <c r="K51" s="14">
        <f t="shared" si="19"/>
        <v>27203.847428890931</v>
      </c>
      <c r="L51" s="14">
        <f t="shared" si="20"/>
        <v>34298.819905127784</v>
      </c>
      <c r="M51" s="14">
        <f t="shared" si="20"/>
        <v>42423.706166693722</v>
      </c>
      <c r="N51" s="14">
        <f t="shared" si="20"/>
        <v>51248.827841206279</v>
      </c>
      <c r="O51" s="14">
        <f t="shared" si="20"/>
        <v>60595.793878397635</v>
      </c>
      <c r="P51" s="14">
        <f t="shared" si="20"/>
        <v>70458.288440380202</v>
      </c>
      <c r="Q51" s="14">
        <f t="shared" si="20"/>
        <v>80796.283336038818</v>
      </c>
      <c r="R51" s="14">
        <f t="shared" si="20"/>
        <v>90498.35840412676</v>
      </c>
      <c r="S51" s="14">
        <f t="shared" si="20"/>
        <v>99499.319697707557</v>
      </c>
      <c r="T51" s="14">
        <f t="shared" si="20"/>
        <v>107711.59596342189</v>
      </c>
      <c r="U51" s="14">
        <f t="shared" si="20"/>
        <v>115158.35921577115</v>
      </c>
      <c r="V51" s="14">
        <f t="shared" si="21"/>
        <v>121699.36439225871</v>
      </c>
      <c r="W51" s="14">
        <f t="shared" si="21"/>
        <v>127107.70142308316</v>
      </c>
      <c r="X51" s="14">
        <f t="shared" si="21"/>
        <v>132072.95384448892</v>
      </c>
      <c r="Y51" s="14">
        <f t="shared" si="21"/>
        <v>136353.64193856754</v>
      </c>
      <c r="Z51" s="14">
        <f t="shared" si="21"/>
        <v>140003.44335623973</v>
      </c>
      <c r="AA51" s="14">
        <f t="shared" si="21"/>
        <v>143316.67893151526</v>
      </c>
      <c r="AB51" s="14">
        <f t="shared" si="21"/>
        <v>146107.63793445521</v>
      </c>
      <c r="AC51" s="14">
        <f t="shared" si="21"/>
        <v>148512.81496311526</v>
      </c>
      <c r="AD51" s="14">
        <f t="shared" si="21"/>
        <v>150858.45859711774</v>
      </c>
      <c r="AE51" s="14">
        <f t="shared" si="21"/>
        <v>153069.00185776383</v>
      </c>
      <c r="AF51" s="14">
        <f t="shared" si="21"/>
        <v>154958.31574770485</v>
      </c>
      <c r="AG51" s="14">
        <f t="shared" si="21"/>
        <v>156732.32725501867</v>
      </c>
      <c r="AH51" s="14">
        <f t="shared" si="21"/>
        <v>158194.03242970258</v>
      </c>
    </row>
    <row r="52" spans="1:34" ht="15.75" customHeight="1" x14ac:dyDescent="0.75">
      <c r="A52" s="7" t="s">
        <v>163</v>
      </c>
      <c r="B52" s="14">
        <f t="shared" si="19"/>
        <v>9699.115307613225</v>
      </c>
      <c r="C52" s="14">
        <f t="shared" si="19"/>
        <v>13033.89129376116</v>
      </c>
      <c r="D52" s="14">
        <f t="shared" si="19"/>
        <v>17254.576727449814</v>
      </c>
      <c r="E52" s="14">
        <f t="shared" si="19"/>
        <v>22681.324738921056</v>
      </c>
      <c r="F52" s="14">
        <f t="shared" si="19"/>
        <v>29572.23973269845</v>
      </c>
      <c r="G52" s="14">
        <f t="shared" si="19"/>
        <v>37474.83861804015</v>
      </c>
      <c r="H52" s="14">
        <f t="shared" si="19"/>
        <v>48045.837617012068</v>
      </c>
      <c r="I52" s="14">
        <f t="shared" si="19"/>
        <v>60740.417410674032</v>
      </c>
      <c r="J52" s="14">
        <f t="shared" si="19"/>
        <v>78311.894919106111</v>
      </c>
      <c r="K52" s="14">
        <f t="shared" si="19"/>
        <v>99155.032510867022</v>
      </c>
      <c r="L52" s="14">
        <f t="shared" si="20"/>
        <v>125015.42701513266</v>
      </c>
      <c r="M52" s="14">
        <f t="shared" si="20"/>
        <v>154629.7440163772</v>
      </c>
      <c r="N52" s="14">
        <f t="shared" si="20"/>
        <v>186796.34209909278</v>
      </c>
      <c r="O52" s="14">
        <f t="shared" si="20"/>
        <v>220865.00550114532</v>
      </c>
      <c r="P52" s="14">
        <f t="shared" si="20"/>
        <v>256812.71368793177</v>
      </c>
      <c r="Q52" s="14">
        <f t="shared" si="20"/>
        <v>294493.56830438471</v>
      </c>
      <c r="R52" s="14">
        <f t="shared" si="20"/>
        <v>329856.56507584365</v>
      </c>
      <c r="S52" s="14">
        <f t="shared" si="20"/>
        <v>362664.07923452917</v>
      </c>
      <c r="T52" s="14">
        <f t="shared" si="20"/>
        <v>392596.92319138575</v>
      </c>
      <c r="U52" s="14">
        <f t="shared" si="20"/>
        <v>419739.55639124871</v>
      </c>
      <c r="V52" s="14">
        <f t="shared" si="21"/>
        <v>443580.80100283178</v>
      </c>
      <c r="W52" s="14">
        <f t="shared" si="21"/>
        <v>463293.59477301012</v>
      </c>
      <c r="X52" s="14">
        <f t="shared" si="21"/>
        <v>481391.39386396843</v>
      </c>
      <c r="Y52" s="14">
        <f t="shared" si="21"/>
        <v>496994.03125732735</v>
      </c>
      <c r="Z52" s="14">
        <f t="shared" si="21"/>
        <v>510297.1560882348</v>
      </c>
      <c r="AA52" s="14">
        <f t="shared" si="21"/>
        <v>522373.53543278686</v>
      </c>
      <c r="AB52" s="14">
        <f t="shared" si="21"/>
        <v>532546.27410132927</v>
      </c>
      <c r="AC52" s="14">
        <f t="shared" si="21"/>
        <v>541312.87989466661</v>
      </c>
      <c r="AD52" s="14">
        <f t="shared" si="21"/>
        <v>549862.49301084003</v>
      </c>
      <c r="AE52" s="14">
        <f t="shared" si="21"/>
        <v>557919.68012192706</v>
      </c>
      <c r="AF52" s="14">
        <f t="shared" si="21"/>
        <v>564806.02149955812</v>
      </c>
      <c r="AG52" s="14">
        <f t="shared" si="21"/>
        <v>571272.09837130026</v>
      </c>
      <c r="AH52" s="14">
        <f t="shared" si="21"/>
        <v>576599.85300218244</v>
      </c>
    </row>
    <row r="53" spans="1:34" ht="15.75" customHeight="1" x14ac:dyDescent="0.75">
      <c r="A53" s="7" t="s">
        <v>164</v>
      </c>
      <c r="B53" s="14">
        <f t="shared" si="19"/>
        <v>468.17380011904118</v>
      </c>
      <c r="C53" s="14">
        <f t="shared" si="19"/>
        <v>629.14257886478003</v>
      </c>
      <c r="D53" s="14">
        <f t="shared" si="19"/>
        <v>832.87397868080734</v>
      </c>
      <c r="E53" s="14">
        <f t="shared" si="19"/>
        <v>1094.8217087819924</v>
      </c>
      <c r="F53" s="14">
        <f t="shared" si="19"/>
        <v>1427.4444023591798</v>
      </c>
      <c r="G53" s="14">
        <f t="shared" si="19"/>
        <v>1808.9008170553541</v>
      </c>
      <c r="H53" s="14">
        <f t="shared" si="19"/>
        <v>2319.1602186028895</v>
      </c>
      <c r="I53" s="14">
        <f t="shared" si="19"/>
        <v>2931.9243186696244</v>
      </c>
      <c r="J53" s="14">
        <f t="shared" si="19"/>
        <v>3780.095016503436</v>
      </c>
      <c r="K53" s="14">
        <f t="shared" si="19"/>
        <v>4786.1879046949116</v>
      </c>
      <c r="L53" s="14">
        <f t="shared" si="20"/>
        <v>6034.4624930108403</v>
      </c>
      <c r="M53" s="14">
        <f t="shared" si="20"/>
        <v>7463.9379542954021</v>
      </c>
      <c r="N53" s="14">
        <f t="shared" si="20"/>
        <v>9016.6113666287893</v>
      </c>
      <c r="O53" s="14">
        <f t="shared" si="20"/>
        <v>10661.096982486517</v>
      </c>
      <c r="P53" s="14">
        <f t="shared" si="20"/>
        <v>12396.283606586945</v>
      </c>
      <c r="Q53" s="14">
        <f t="shared" si="20"/>
        <v>14215.128762873581</v>
      </c>
      <c r="R53" s="14">
        <f t="shared" si="20"/>
        <v>15922.091517414281</v>
      </c>
      <c r="S53" s="14">
        <f t="shared" si="20"/>
        <v>17505.701783814005</v>
      </c>
      <c r="T53" s="14">
        <f t="shared" si="20"/>
        <v>18950.552459282506</v>
      </c>
      <c r="U53" s="14">
        <f t="shared" si="20"/>
        <v>20260.720379488845</v>
      </c>
      <c r="V53" s="14">
        <f t="shared" si="21"/>
        <v>21411.531122053279</v>
      </c>
      <c r="W53" s="14">
        <f t="shared" si="21"/>
        <v>22363.0626048374</v>
      </c>
      <c r="X53" s="14">
        <f t="shared" si="21"/>
        <v>23236.638710026513</v>
      </c>
      <c r="Y53" s="14">
        <f t="shared" si="21"/>
        <v>23989.774002128313</v>
      </c>
      <c r="Z53" s="14">
        <f t="shared" si="21"/>
        <v>24631.912414551884</v>
      </c>
      <c r="AA53" s="14">
        <f t="shared" si="21"/>
        <v>25214.83613801562</v>
      </c>
      <c r="AB53" s="14">
        <f t="shared" si="21"/>
        <v>25705.8716158938</v>
      </c>
      <c r="AC53" s="14">
        <f t="shared" si="21"/>
        <v>26129.033421712389</v>
      </c>
      <c r="AD53" s="14">
        <f t="shared" si="21"/>
        <v>26541.721046840899</v>
      </c>
      <c r="AE53" s="14">
        <f t="shared" si="21"/>
        <v>26930.63939541511</v>
      </c>
      <c r="AF53" s="14">
        <f t="shared" si="21"/>
        <v>27263.041321717799</v>
      </c>
      <c r="AG53" s="14">
        <f t="shared" si="21"/>
        <v>27575.157188463829</v>
      </c>
      <c r="AH53" s="14">
        <f t="shared" si="21"/>
        <v>27832.326533556985</v>
      </c>
    </row>
    <row r="54" spans="1:34" ht="15.75" customHeight="1" x14ac:dyDescent="0.75">
      <c r="A54" s="7" t="s">
        <v>165</v>
      </c>
      <c r="B54" s="14">
        <f t="shared" si="19"/>
        <v>5044.9169417239327</v>
      </c>
      <c r="C54" s="14">
        <f t="shared" si="19"/>
        <v>6779.473892105405</v>
      </c>
      <c r="D54" s="14">
        <f t="shared" si="19"/>
        <v>8974.8295276229637</v>
      </c>
      <c r="E54" s="14">
        <f t="shared" si="19"/>
        <v>11797.508928088306</v>
      </c>
      <c r="F54" s="14">
        <f t="shared" si="19"/>
        <v>15381.763026892484</v>
      </c>
      <c r="G54" s="14">
        <f t="shared" si="19"/>
        <v>19492.236377901627</v>
      </c>
      <c r="H54" s="14">
        <f t="shared" si="19"/>
        <v>24990.656620312751</v>
      </c>
      <c r="I54" s="14">
        <f t="shared" si="19"/>
        <v>31593.640360370107</v>
      </c>
      <c r="J54" s="14">
        <f t="shared" si="19"/>
        <v>40733.303284454305</v>
      </c>
      <c r="K54" s="14">
        <f t="shared" si="19"/>
        <v>51574.693928899949</v>
      </c>
      <c r="L54" s="14">
        <f t="shared" si="20"/>
        <v>65025.770466966067</v>
      </c>
      <c r="M54" s="14">
        <f t="shared" si="20"/>
        <v>80429.419647205228</v>
      </c>
      <c r="N54" s="14">
        <f t="shared" si="20"/>
        <v>97160.617336724201</v>
      </c>
      <c r="O54" s="14">
        <f t="shared" si="20"/>
        <v>114881.1590281911</v>
      </c>
      <c r="P54" s="14">
        <f t="shared" si="20"/>
        <v>133579.07077539092</v>
      </c>
      <c r="Q54" s="14">
        <f t="shared" si="20"/>
        <v>153178.46472052377</v>
      </c>
      <c r="R54" s="14">
        <f t="shared" si="20"/>
        <v>171572.24352037226</v>
      </c>
      <c r="S54" s="14">
        <f t="shared" si="20"/>
        <v>188636.80856014285</v>
      </c>
      <c r="T54" s="14">
        <f t="shared" si="20"/>
        <v>204206.13697851848</v>
      </c>
      <c r="U54" s="14">
        <f t="shared" si="20"/>
        <v>218324.15967750663</v>
      </c>
      <c r="V54" s="14">
        <f t="shared" si="21"/>
        <v>230724.99161300794</v>
      </c>
      <c r="W54" s="14">
        <f t="shared" si="21"/>
        <v>240978.4429955089</v>
      </c>
      <c r="X54" s="14">
        <f t="shared" si="21"/>
        <v>250391.86786429305</v>
      </c>
      <c r="Y54" s="14">
        <f t="shared" si="21"/>
        <v>258507.45441263999</v>
      </c>
      <c r="Z54" s="14">
        <f t="shared" si="21"/>
        <v>265426.96796710131</v>
      </c>
      <c r="AA54" s="14">
        <f t="shared" si="21"/>
        <v>271708.39970780798</v>
      </c>
      <c r="AB54" s="14">
        <f t="shared" si="21"/>
        <v>276999.66803744383</v>
      </c>
      <c r="AC54" s="14">
        <f t="shared" si="21"/>
        <v>281559.54764352576</v>
      </c>
      <c r="AD54" s="14">
        <f t="shared" si="21"/>
        <v>286006.56025106867</v>
      </c>
      <c r="AE54" s="14">
        <f t="shared" si="21"/>
        <v>290197.44142632972</v>
      </c>
      <c r="AF54" s="14">
        <f t="shared" si="21"/>
        <v>293779.31659542234</v>
      </c>
      <c r="AG54" s="14">
        <f t="shared" si="21"/>
        <v>297142.59455657162</v>
      </c>
      <c r="AH54" s="14">
        <f t="shared" si="21"/>
        <v>299913.78334505705</v>
      </c>
    </row>
    <row r="55" spans="1:34" ht="15.75" customHeight="1" x14ac:dyDescent="0.75">
      <c r="A55" s="7" t="s">
        <v>166</v>
      </c>
      <c r="B55" s="14">
        <f t="shared" si="19"/>
        <v>20850.946377360535</v>
      </c>
      <c r="C55" s="14">
        <f t="shared" si="19"/>
        <v>28019.975001352741</v>
      </c>
      <c r="D55" s="14">
        <f t="shared" si="19"/>
        <v>37093.512418159189</v>
      </c>
      <c r="E55" s="14">
        <f t="shared" si="19"/>
        <v>48759.816838915649</v>
      </c>
      <c r="F55" s="14">
        <f t="shared" si="19"/>
        <v>63573.755478599647</v>
      </c>
      <c r="G55" s="14">
        <f t="shared" si="19"/>
        <v>80562.590065472657</v>
      </c>
      <c r="H55" s="14">
        <f t="shared" si="19"/>
        <v>103287.89297115957</v>
      </c>
      <c r="I55" s="14">
        <f t="shared" si="19"/>
        <v>130578.42351604351</v>
      </c>
      <c r="J55" s="14">
        <f t="shared" si="19"/>
        <v>168353.20231589201</v>
      </c>
      <c r="K55" s="14">
        <f t="shared" si="19"/>
        <v>213161.32454953738</v>
      </c>
      <c r="L55" s="14">
        <f t="shared" si="20"/>
        <v>268755.43617769604</v>
      </c>
      <c r="M55" s="14">
        <f t="shared" si="20"/>
        <v>332419.64844975923</v>
      </c>
      <c r="N55" s="14">
        <f t="shared" si="20"/>
        <v>401570.69887993077</v>
      </c>
      <c r="O55" s="14">
        <f t="shared" si="20"/>
        <v>474810.76781559444</v>
      </c>
      <c r="P55" s="14">
        <f t="shared" si="20"/>
        <v>552090.36621394951</v>
      </c>
      <c r="Q55" s="14">
        <f t="shared" si="20"/>
        <v>633095.84497592121</v>
      </c>
      <c r="R55" s="14">
        <f t="shared" si="20"/>
        <v>709118.44353660522</v>
      </c>
      <c r="S55" s="14">
        <f t="shared" si="20"/>
        <v>779647.32135706942</v>
      </c>
      <c r="T55" s="14">
        <f t="shared" si="20"/>
        <v>843996.29592554516</v>
      </c>
      <c r="U55" s="14">
        <f t="shared" si="20"/>
        <v>902346.93631297012</v>
      </c>
      <c r="V55" s="14">
        <f t="shared" si="21"/>
        <v>953600.32357556419</v>
      </c>
      <c r="W55" s="14">
        <f t="shared" si="21"/>
        <v>995978.45733455988</v>
      </c>
      <c r="X55" s="14">
        <f t="shared" si="21"/>
        <v>1034884.7107840485</v>
      </c>
      <c r="Y55" s="14">
        <f t="shared" si="21"/>
        <v>1068426.9200800823</v>
      </c>
      <c r="Z55" s="14">
        <f t="shared" si="21"/>
        <v>1097025.6874627997</v>
      </c>
      <c r="AA55" s="14">
        <f t="shared" si="21"/>
        <v>1122987.224176181</v>
      </c>
      <c r="AB55" s="14">
        <f t="shared" si="21"/>
        <v>1144856.355716682</v>
      </c>
      <c r="AC55" s="14">
        <f t="shared" si="21"/>
        <v>1163702.6134949408</v>
      </c>
      <c r="AD55" s="14">
        <f t="shared" si="21"/>
        <v>1182082.3851523187</v>
      </c>
      <c r="AE55" s="14">
        <f t="shared" si="21"/>
        <v>1199403.5501325687</v>
      </c>
      <c r="AF55" s="14">
        <f t="shared" si="21"/>
        <v>1214207.6565120935</v>
      </c>
      <c r="AG55" s="14">
        <f t="shared" si="21"/>
        <v>1228108.2874303339</v>
      </c>
      <c r="AH55" s="14">
        <f t="shared" si="21"/>
        <v>1239561.7780423139</v>
      </c>
    </row>
    <row r="56" spans="1:34" ht="15.75" customHeight="1" x14ac:dyDescent="0.75">
      <c r="A56" s="7" t="s">
        <v>167</v>
      </c>
      <c r="B56" s="14">
        <f t="shared" si="19"/>
        <v>1704.0149342568041</v>
      </c>
      <c r="C56" s="14">
        <f t="shared" si="19"/>
        <v>2289.8939451328388</v>
      </c>
      <c r="D56" s="14">
        <f t="shared" si="19"/>
        <v>3031.4163194632324</v>
      </c>
      <c r="E56" s="14">
        <f t="shared" si="19"/>
        <v>3984.8290135815159</v>
      </c>
      <c r="F56" s="14">
        <f t="shared" si="19"/>
        <v>5195.4777879984849</v>
      </c>
      <c r="G56" s="14">
        <f t="shared" si="19"/>
        <v>6583.8669444294137</v>
      </c>
      <c r="H56" s="14">
        <f t="shared" si="19"/>
        <v>8441.0610897678689</v>
      </c>
      <c r="I56" s="14">
        <f t="shared" si="19"/>
        <v>10671.34218927547</v>
      </c>
      <c r="J56" s="14">
        <f t="shared" si="19"/>
        <v>13758.434067420592</v>
      </c>
      <c r="K56" s="14">
        <f t="shared" si="19"/>
        <v>17420.316270764568</v>
      </c>
      <c r="L56" s="14">
        <f t="shared" si="20"/>
        <v>21963.668632649747</v>
      </c>
      <c r="M56" s="14">
        <f t="shared" si="20"/>
        <v>27166.538877766354</v>
      </c>
      <c r="N56" s="14">
        <f t="shared" si="20"/>
        <v>32817.813430009199</v>
      </c>
      <c r="O56" s="14">
        <f t="shared" si="20"/>
        <v>38803.257399491369</v>
      </c>
      <c r="P56" s="14">
        <f t="shared" si="20"/>
        <v>45118.826362209831</v>
      </c>
      <c r="Q56" s="14">
        <f t="shared" si="20"/>
        <v>51738.887776635456</v>
      </c>
      <c r="R56" s="14">
        <f t="shared" si="20"/>
        <v>57951.730155294623</v>
      </c>
      <c r="S56" s="14">
        <f t="shared" si="20"/>
        <v>63715.605757264209</v>
      </c>
      <c r="T56" s="14">
        <f t="shared" si="20"/>
        <v>68974.437259888524</v>
      </c>
      <c r="U56" s="14">
        <f t="shared" si="20"/>
        <v>73743.063145933658</v>
      </c>
      <c r="V56" s="14">
        <f t="shared" si="21"/>
        <v>77931.675775120384</v>
      </c>
      <c r="W56" s="14">
        <f t="shared" si="21"/>
        <v>81394.97051025377</v>
      </c>
      <c r="X56" s="14">
        <f t="shared" si="21"/>
        <v>84574.530598993559</v>
      </c>
      <c r="Y56" s="14">
        <f t="shared" si="21"/>
        <v>87315.721551864073</v>
      </c>
      <c r="Z56" s="14">
        <f t="shared" si="21"/>
        <v>89652.916508846916</v>
      </c>
      <c r="AA56" s="14">
        <f t="shared" si="21"/>
        <v>91774.587414100955</v>
      </c>
      <c r="AB56" s="14">
        <f t="shared" si="21"/>
        <v>93561.812131378159</v>
      </c>
      <c r="AC56" s="14">
        <f t="shared" si="21"/>
        <v>95101.99664520318</v>
      </c>
      <c r="AD56" s="14">
        <f t="shared" si="21"/>
        <v>96604.058221957675</v>
      </c>
      <c r="AE56" s="14">
        <f t="shared" si="21"/>
        <v>98019.606623018233</v>
      </c>
      <c r="AF56" s="14">
        <f t="shared" si="21"/>
        <v>99229.451869487573</v>
      </c>
      <c r="AG56" s="14">
        <f t="shared" si="21"/>
        <v>100365.46182565877</v>
      </c>
      <c r="AH56" s="14">
        <f t="shared" si="21"/>
        <v>101301.4826037552</v>
      </c>
    </row>
    <row r="57" spans="1:34" ht="15.75" customHeight="1" x14ac:dyDescent="0.75">
      <c r="A57" s="7" t="s">
        <v>168</v>
      </c>
      <c r="B57" s="14">
        <f t="shared" si="19"/>
        <v>3106.8151074076077</v>
      </c>
      <c r="C57" s="14">
        <f t="shared" si="19"/>
        <v>4175.0086575401765</v>
      </c>
      <c r="D57" s="14">
        <f t="shared" si="19"/>
        <v>5526.9762188193272</v>
      </c>
      <c r="E57" s="14">
        <f t="shared" si="19"/>
        <v>7265.2690601157938</v>
      </c>
      <c r="F57" s="14">
        <f t="shared" si="19"/>
        <v>9472.563037714408</v>
      </c>
      <c r="G57" s="14">
        <f t="shared" si="19"/>
        <v>12003.919024944536</v>
      </c>
      <c r="H57" s="14">
        <f t="shared" si="19"/>
        <v>15390.015421243437</v>
      </c>
      <c r="I57" s="14">
        <f t="shared" si="19"/>
        <v>19456.336011759824</v>
      </c>
      <c r="J57" s="14">
        <f t="shared" si="19"/>
        <v>25084.82170878199</v>
      </c>
      <c r="K57" s="14">
        <f t="shared" si="19"/>
        <v>31761.283705787922</v>
      </c>
      <c r="L57" s="14">
        <f t="shared" si="20"/>
        <v>40044.870587810903</v>
      </c>
      <c r="M57" s="14">
        <f t="shared" si="20"/>
        <v>49530.911792291176</v>
      </c>
      <c r="N57" s="14">
        <f t="shared" si="20"/>
        <v>59834.498223400602</v>
      </c>
      <c r="O57" s="14">
        <f t="shared" si="20"/>
        <v>70747.353137456477</v>
      </c>
      <c r="P57" s="14">
        <f t="shared" si="20"/>
        <v>82262.102609887632</v>
      </c>
      <c r="Q57" s="14">
        <f t="shared" si="20"/>
        <v>94332.01256245152</v>
      </c>
      <c r="R57" s="14">
        <f t="shared" si="20"/>
        <v>105659.4676063705</v>
      </c>
      <c r="S57" s="14">
        <f t="shared" si="20"/>
        <v>116168.35191097161</v>
      </c>
      <c r="T57" s="14">
        <f t="shared" si="20"/>
        <v>125756.42348898869</v>
      </c>
      <c r="U57" s="14">
        <f t="shared" si="20"/>
        <v>134450.73634182854</v>
      </c>
      <c r="V57" s="14">
        <f t="shared" si="21"/>
        <v>142087.55027686091</v>
      </c>
      <c r="W57" s="14">
        <f t="shared" si="21"/>
        <v>148401.94118283642</v>
      </c>
      <c r="X57" s="14">
        <f t="shared" si="21"/>
        <v>154199.01791028623</v>
      </c>
      <c r="Y57" s="14">
        <f t="shared" si="21"/>
        <v>159196.84585971176</v>
      </c>
      <c r="Z57" s="14">
        <f t="shared" si="21"/>
        <v>163458.09525097848</v>
      </c>
      <c r="AA57" s="14">
        <f t="shared" si="21"/>
        <v>167326.39422469924</v>
      </c>
      <c r="AB57" s="14">
        <f t="shared" si="21"/>
        <v>170584.92009811878</v>
      </c>
      <c r="AC57" s="14">
        <f t="shared" si="21"/>
        <v>173393.03428746641</v>
      </c>
      <c r="AD57" s="14">
        <f t="shared" si="21"/>
        <v>176131.64150569052</v>
      </c>
      <c r="AE57" s="14">
        <f t="shared" si="21"/>
        <v>178712.51510560393</v>
      </c>
      <c r="AF57" s="14">
        <f t="shared" si="21"/>
        <v>180918.34406507583</v>
      </c>
      <c r="AG57" s="14">
        <f t="shared" si="21"/>
        <v>182989.5541366809</v>
      </c>
      <c r="AH57" s="14">
        <f t="shared" si="21"/>
        <v>184696.13747452336</v>
      </c>
    </row>
    <row r="58" spans="1:34" ht="15.75" customHeight="1" x14ac:dyDescent="0.75">
      <c r="A58" s="7" t="s">
        <v>169</v>
      </c>
      <c r="B58" s="14">
        <f t="shared" si="19"/>
        <v>4814.272496077052</v>
      </c>
      <c r="C58" s="14">
        <f t="shared" si="19"/>
        <v>6469.5286510470205</v>
      </c>
      <c r="D58" s="14">
        <f t="shared" si="19"/>
        <v>8564.5166116552136</v>
      </c>
      <c r="E58" s="14">
        <f t="shared" si="19"/>
        <v>11258.148233320708</v>
      </c>
      <c r="F58" s="14">
        <f t="shared" si="19"/>
        <v>14678.536740436122</v>
      </c>
      <c r="G58" s="14">
        <f t="shared" si="19"/>
        <v>18601.086710675827</v>
      </c>
      <c r="H58" s="14">
        <f t="shared" si="19"/>
        <v>23848.129159677505</v>
      </c>
      <c r="I58" s="14">
        <f t="shared" si="19"/>
        <v>30149.236468084338</v>
      </c>
      <c r="J58" s="14">
        <f t="shared" si="19"/>
        <v>38871.050592500404</v>
      </c>
      <c r="K58" s="14">
        <f t="shared" si="19"/>
        <v>49216.792534675245</v>
      </c>
      <c r="L58" s="14">
        <f t="shared" si="20"/>
        <v>62052.910268203377</v>
      </c>
      <c r="M58" s="14">
        <f t="shared" si="20"/>
        <v>76752.332566780286</v>
      </c>
      <c r="N58" s="14">
        <f t="shared" si="20"/>
        <v>92718.610266399715</v>
      </c>
      <c r="O58" s="14">
        <f t="shared" si="20"/>
        <v>109629.00095593672</v>
      </c>
      <c r="P58" s="14">
        <f t="shared" si="20"/>
        <v>127472.07811626354</v>
      </c>
      <c r="Q58" s="14">
        <f t="shared" si="20"/>
        <v>146175.42334469635</v>
      </c>
      <c r="R58" s="14">
        <f t="shared" si="20"/>
        <v>163728.27196399905</v>
      </c>
      <c r="S58" s="14">
        <f t="shared" si="20"/>
        <v>180012.67606370506</v>
      </c>
      <c r="T58" s="14">
        <f t="shared" si="20"/>
        <v>194870.20304637193</v>
      </c>
      <c r="U58" s="14">
        <f t="shared" si="20"/>
        <v>208342.77537290548</v>
      </c>
      <c r="V58" s="14">
        <f t="shared" si="21"/>
        <v>220176.66378081992</v>
      </c>
      <c r="W58" s="14">
        <f t="shared" si="21"/>
        <v>229961.34597694929</v>
      </c>
      <c r="X58" s="14">
        <f t="shared" si="21"/>
        <v>238944.40614685352</v>
      </c>
      <c r="Y58" s="14">
        <f t="shared" si="21"/>
        <v>246688.96280865031</v>
      </c>
      <c r="Z58" s="14">
        <f t="shared" si="21"/>
        <v>253292.12876287356</v>
      </c>
      <c r="AA58" s="14">
        <f t="shared" si="21"/>
        <v>259286.38484569738</v>
      </c>
      <c r="AB58" s="14">
        <f t="shared" si="21"/>
        <v>264335.7459913785</v>
      </c>
      <c r="AC58" s="14">
        <f t="shared" si="21"/>
        <v>268687.15617841744</v>
      </c>
      <c r="AD58" s="14">
        <f t="shared" si="21"/>
        <v>272930.85944122792</v>
      </c>
      <c r="AE58" s="14">
        <f t="shared" si="21"/>
        <v>276930.14113594138</v>
      </c>
      <c r="AF58" s="14">
        <f t="shared" si="21"/>
        <v>280348.25947369367</v>
      </c>
      <c r="AG58" s="14">
        <f t="shared" si="21"/>
        <v>283557.77447107836</v>
      </c>
      <c r="AH58" s="14">
        <f t="shared" si="21"/>
        <v>286202.26953808416</v>
      </c>
    </row>
    <row r="59" spans="1:34" ht="15.75" customHeight="1" x14ac:dyDescent="0.75">
      <c r="A59" s="7" t="s">
        <v>170</v>
      </c>
      <c r="B59" s="14">
        <f t="shared" si="19"/>
        <v>1765.9791136843244</v>
      </c>
      <c r="C59" s="14">
        <f t="shared" si="19"/>
        <v>2373.1628158649423</v>
      </c>
      <c r="D59" s="14">
        <f t="shared" si="19"/>
        <v>3141.649640170986</v>
      </c>
      <c r="E59" s="14">
        <f t="shared" si="19"/>
        <v>4129.7318868026623</v>
      </c>
      <c r="F59" s="14">
        <f t="shared" si="19"/>
        <v>5384.4042530166116</v>
      </c>
      <c r="G59" s="14">
        <f t="shared" si="19"/>
        <v>6823.2802878632101</v>
      </c>
      <c r="H59" s="14">
        <f t="shared" si="19"/>
        <v>8748.0087657594286</v>
      </c>
      <c r="I59" s="14">
        <f t="shared" si="19"/>
        <v>11059.390996158216</v>
      </c>
      <c r="J59" s="14">
        <f t="shared" si="19"/>
        <v>14258.740760781342</v>
      </c>
      <c r="K59" s="14">
        <f t="shared" si="19"/>
        <v>18053.78231697419</v>
      </c>
      <c r="L59" s="14">
        <f t="shared" si="20"/>
        <v>22762.347492018827</v>
      </c>
      <c r="M59" s="14">
        <f t="shared" si="20"/>
        <v>28154.413018776038</v>
      </c>
      <c r="N59" s="14">
        <f t="shared" si="20"/>
        <v>34011.188463827712</v>
      </c>
      <c r="O59" s="14">
        <f t="shared" si="20"/>
        <v>40214.284941291051</v>
      </c>
      <c r="P59" s="14">
        <f t="shared" si="20"/>
        <v>46759.51095719928</v>
      </c>
      <c r="Q59" s="14">
        <f t="shared" si="20"/>
        <v>53620.301877604019</v>
      </c>
      <c r="R59" s="14">
        <f t="shared" si="20"/>
        <v>60059.065797305338</v>
      </c>
      <c r="S59" s="14">
        <f t="shared" si="20"/>
        <v>66032.536875710182</v>
      </c>
      <c r="T59" s="14">
        <f t="shared" si="20"/>
        <v>71482.598614793562</v>
      </c>
      <c r="U59" s="14">
        <f t="shared" si="20"/>
        <v>76424.629078513055</v>
      </c>
      <c r="V59" s="14">
        <f t="shared" si="21"/>
        <v>80765.554894215675</v>
      </c>
      <c r="W59" s="14">
        <f t="shared" si="21"/>
        <v>84354.787619717536</v>
      </c>
      <c r="X59" s="14">
        <f t="shared" si="21"/>
        <v>87649.96807532059</v>
      </c>
      <c r="Y59" s="14">
        <f t="shared" si="21"/>
        <v>90490.838699204585</v>
      </c>
      <c r="Z59" s="14">
        <f t="shared" si="21"/>
        <v>92913.022563714083</v>
      </c>
      <c r="AA59" s="14">
        <f t="shared" si="21"/>
        <v>95111.845138250093</v>
      </c>
      <c r="AB59" s="14">
        <f t="shared" si="21"/>
        <v>96964.059845246462</v>
      </c>
      <c r="AC59" s="14">
        <f t="shared" si="21"/>
        <v>98560.251068665108</v>
      </c>
      <c r="AD59" s="14">
        <f t="shared" si="21"/>
        <v>100116.93306639251</v>
      </c>
      <c r="AE59" s="14">
        <f t="shared" si="21"/>
        <v>101583.95595476434</v>
      </c>
      <c r="AF59" s="14">
        <f t="shared" si="21"/>
        <v>102837.79557383258</v>
      </c>
      <c r="AG59" s="14">
        <f t="shared" si="21"/>
        <v>104015.11498295546</v>
      </c>
      <c r="AH59" s="14">
        <f t="shared" si="21"/>
        <v>104985.17288025538</v>
      </c>
    </row>
    <row r="60" spans="1:34" ht="15.75" customHeight="1" x14ac:dyDescent="0.75">
      <c r="A60" s="7" t="s">
        <v>171</v>
      </c>
      <c r="B60" s="14">
        <f t="shared" ref="B60:K65" si="22">SUM(B$46:B$47)*INDEX($B$23:$B$40,MATCH($A60,$A$23:$A$40,0),1)</f>
        <v>8351.3944050646605</v>
      </c>
      <c r="C60" s="14">
        <f t="shared" si="22"/>
        <v>11222.793355337915</v>
      </c>
      <c r="D60" s="14">
        <f t="shared" si="22"/>
        <v>14857.002002056166</v>
      </c>
      <c r="E60" s="14">
        <f t="shared" si="22"/>
        <v>19529.687246361129</v>
      </c>
      <c r="F60" s="14">
        <f t="shared" si="22"/>
        <v>25463.089118554191</v>
      </c>
      <c r="G60" s="14">
        <f t="shared" si="22"/>
        <v>32267.598398355069</v>
      </c>
      <c r="H60" s="14">
        <f t="shared" si="22"/>
        <v>41369.725664195663</v>
      </c>
      <c r="I60" s="14">
        <f t="shared" si="22"/>
        <v>52300.355860974334</v>
      </c>
      <c r="J60" s="14">
        <f t="shared" si="22"/>
        <v>67430.224338509826</v>
      </c>
      <c r="K60" s="14">
        <f t="shared" si="22"/>
        <v>85377.146005807765</v>
      </c>
      <c r="L60" s="14">
        <f t="shared" ref="L60:U65" si="23">SUM(L$46:L$47)*INDEX($B$23:$B$40,MATCH($A60,$A$23:$A$40,0),1)</f>
        <v>107644.16182385513</v>
      </c>
      <c r="M60" s="14">
        <f t="shared" si="23"/>
        <v>133143.48144941652</v>
      </c>
      <c r="N60" s="14">
        <f t="shared" si="23"/>
        <v>160840.43511354004</v>
      </c>
      <c r="O60" s="14">
        <f t="shared" si="23"/>
        <v>190175.15646700215</v>
      </c>
      <c r="P60" s="14">
        <f t="shared" si="23"/>
        <v>221127.82374691125</v>
      </c>
      <c r="Q60" s="14">
        <f t="shared" si="23"/>
        <v>253572.81160831847</v>
      </c>
      <c r="R60" s="14">
        <f t="shared" si="23"/>
        <v>284022.01486211066</v>
      </c>
      <c r="S60" s="14">
        <f t="shared" si="23"/>
        <v>312270.82740832929</v>
      </c>
      <c r="T60" s="14">
        <f t="shared" si="23"/>
        <v>338044.41372220119</v>
      </c>
      <c r="U60" s="14">
        <f t="shared" si="23"/>
        <v>361415.49735764659</v>
      </c>
      <c r="V60" s="14">
        <f t="shared" ref="V60:AH65" si="24">SUM(V$46:V$47)*INDEX($B$23:$B$40,MATCH($A60,$A$23:$A$40,0),1)</f>
        <v>381943.93016250926</v>
      </c>
      <c r="W60" s="14">
        <f t="shared" si="24"/>
        <v>398917.57264217304</v>
      </c>
      <c r="X60" s="14">
        <f t="shared" si="24"/>
        <v>414500.6287538553</v>
      </c>
      <c r="Y60" s="14">
        <f t="shared" si="24"/>
        <v>427935.23330267123</v>
      </c>
      <c r="Z60" s="14">
        <f t="shared" si="24"/>
        <v>439389.84939487401</v>
      </c>
      <c r="AA60" s="14">
        <f t="shared" si="24"/>
        <v>449788.17993254337</v>
      </c>
      <c r="AB60" s="14">
        <f t="shared" si="24"/>
        <v>458547.38632469386</v>
      </c>
      <c r="AC60" s="14">
        <f t="shared" si="24"/>
        <v>466095.84618436953</v>
      </c>
      <c r="AD60" s="14">
        <f t="shared" si="24"/>
        <v>473457.46514438256</v>
      </c>
      <c r="AE60" s="14">
        <f t="shared" si="24"/>
        <v>480395.08215644897</v>
      </c>
      <c r="AF60" s="14">
        <f t="shared" si="24"/>
        <v>486324.54593005433</v>
      </c>
      <c r="AG60" s="14">
        <f t="shared" si="24"/>
        <v>491892.14220009744</v>
      </c>
      <c r="AH60" s="14">
        <f t="shared" si="24"/>
        <v>496479.58948830335</v>
      </c>
    </row>
    <row r="61" spans="1:34" ht="15.75" customHeight="1" x14ac:dyDescent="0.75">
      <c r="A61" s="7" t="s">
        <v>172</v>
      </c>
      <c r="B61" s="14">
        <f t="shared" si="22"/>
        <v>2203.1708240896055</v>
      </c>
      <c r="C61" s="14">
        <f t="shared" si="22"/>
        <v>2960.670959363671</v>
      </c>
      <c r="D61" s="14">
        <f t="shared" si="22"/>
        <v>3919.406958497917</v>
      </c>
      <c r="E61" s="14">
        <f t="shared" si="22"/>
        <v>5152.1021589740822</v>
      </c>
      <c r="F61" s="14">
        <f t="shared" si="22"/>
        <v>6717.3854228667287</v>
      </c>
      <c r="G61" s="14">
        <f t="shared" si="22"/>
        <v>8512.4744332016671</v>
      </c>
      <c r="H61" s="14">
        <f t="shared" si="22"/>
        <v>10913.695146366539</v>
      </c>
      <c r="I61" s="14">
        <f t="shared" si="22"/>
        <v>13797.29091138647</v>
      </c>
      <c r="J61" s="14">
        <f t="shared" si="22"/>
        <v>17788.682430604404</v>
      </c>
      <c r="K61" s="14">
        <f t="shared" si="22"/>
        <v>22523.237198564293</v>
      </c>
      <c r="L61" s="14">
        <f t="shared" si="23"/>
        <v>28397.470555345131</v>
      </c>
      <c r="M61" s="14">
        <f t="shared" si="23"/>
        <v>35124.413902566601</v>
      </c>
      <c r="N61" s="14">
        <f t="shared" si="23"/>
        <v>42431.112313547252</v>
      </c>
      <c r="O61" s="14">
        <f t="shared" si="23"/>
        <v>50169.868152877731</v>
      </c>
      <c r="P61" s="14">
        <f t="shared" si="23"/>
        <v>58335.452266291511</v>
      </c>
      <c r="Q61" s="14">
        <f t="shared" si="23"/>
        <v>66894.723589993329</v>
      </c>
      <c r="R61" s="14">
        <f t="shared" si="23"/>
        <v>74927.489493714267</v>
      </c>
      <c r="S61" s="14">
        <f t="shared" si="23"/>
        <v>82379.773100301216</v>
      </c>
      <c r="T61" s="14">
        <f t="shared" si="23"/>
        <v>89179.07039662356</v>
      </c>
      <c r="U61" s="14">
        <f t="shared" si="23"/>
        <v>95344.566491712219</v>
      </c>
      <c r="V61" s="14">
        <f t="shared" si="24"/>
        <v>100760.14645672133</v>
      </c>
      <c r="W61" s="14">
        <f t="shared" si="24"/>
        <v>105237.94166982306</v>
      </c>
      <c r="X61" s="14">
        <f t="shared" si="24"/>
        <v>109348.8880471836</v>
      </c>
      <c r="Y61" s="14">
        <f t="shared" si="24"/>
        <v>112893.05412766265</v>
      </c>
      <c r="Z61" s="14">
        <f t="shared" si="24"/>
        <v>115914.88195083239</v>
      </c>
      <c r="AA61" s="14">
        <f t="shared" si="24"/>
        <v>118658.05241419116</v>
      </c>
      <c r="AB61" s="14">
        <f t="shared" si="24"/>
        <v>120968.80760420613</v>
      </c>
      <c r="AC61" s="14">
        <f t="shared" si="24"/>
        <v>122960.15727864654</v>
      </c>
      <c r="AD61" s="14">
        <f t="shared" si="24"/>
        <v>124902.216691016</v>
      </c>
      <c r="AE61" s="14">
        <f t="shared" si="24"/>
        <v>126732.42068430642</v>
      </c>
      <c r="AF61" s="14">
        <f t="shared" si="24"/>
        <v>128296.66504337789</v>
      </c>
      <c r="AG61" s="14">
        <f t="shared" si="24"/>
        <v>129765.44559277096</v>
      </c>
      <c r="AH61" s="14">
        <f t="shared" si="24"/>
        <v>130975.65427556229</v>
      </c>
    </row>
    <row r="62" spans="1:34" ht="15.75" customHeight="1" x14ac:dyDescent="0.75">
      <c r="A62" s="7" t="s">
        <v>173</v>
      </c>
      <c r="B62" s="14">
        <f t="shared" si="22"/>
        <v>100132.39272766624</v>
      </c>
      <c r="C62" s="14">
        <f t="shared" si="22"/>
        <v>134560.18207889184</v>
      </c>
      <c r="D62" s="14">
        <f t="shared" si="22"/>
        <v>178133.98422704398</v>
      </c>
      <c r="E62" s="14">
        <f t="shared" si="22"/>
        <v>234159.01804556031</v>
      </c>
      <c r="F62" s="14">
        <f t="shared" si="22"/>
        <v>305299.91951193113</v>
      </c>
      <c r="G62" s="14">
        <f t="shared" si="22"/>
        <v>386885.31261836481</v>
      </c>
      <c r="H62" s="14">
        <f t="shared" si="22"/>
        <v>496018.91807802604</v>
      </c>
      <c r="I62" s="14">
        <f t="shared" si="22"/>
        <v>627076.09278899047</v>
      </c>
      <c r="J62" s="14">
        <f t="shared" si="22"/>
        <v>808481.71906282124</v>
      </c>
      <c r="K62" s="14">
        <f t="shared" si="22"/>
        <v>1023663.5343956857</v>
      </c>
      <c r="L62" s="14">
        <f t="shared" si="23"/>
        <v>1290642.8512165647</v>
      </c>
      <c r="M62" s="14">
        <f t="shared" si="23"/>
        <v>1596377.1709232905</v>
      </c>
      <c r="N62" s="14">
        <f t="shared" si="23"/>
        <v>1928460.9053442273</v>
      </c>
      <c r="O62" s="14">
        <f t="shared" si="23"/>
        <v>2280181.3123387983</v>
      </c>
      <c r="P62" s="14">
        <f t="shared" si="23"/>
        <v>2651300.7309308657</v>
      </c>
      <c r="Q62" s="14">
        <f t="shared" si="23"/>
        <v>3040312.9256623918</v>
      </c>
      <c r="R62" s="14">
        <f t="shared" si="23"/>
        <v>3405395.8603881462</v>
      </c>
      <c r="S62" s="14">
        <f t="shared" si="23"/>
        <v>3744096.3282109555</v>
      </c>
      <c r="T62" s="14">
        <f t="shared" si="23"/>
        <v>4053119.0783777931</v>
      </c>
      <c r="U62" s="14">
        <f t="shared" si="23"/>
        <v>4333336.0591057483</v>
      </c>
      <c r="V62" s="14">
        <f t="shared" si="24"/>
        <v>4579469.9375935644</v>
      </c>
      <c r="W62" s="14">
        <f t="shared" si="24"/>
        <v>4782982.2317515286</v>
      </c>
      <c r="X62" s="14">
        <f t="shared" si="24"/>
        <v>4969821.5329257073</v>
      </c>
      <c r="Y62" s="14">
        <f t="shared" si="24"/>
        <v>5130901.1124037299</v>
      </c>
      <c r="Z62" s="14">
        <f t="shared" si="24"/>
        <v>5268240.8261638079</v>
      </c>
      <c r="AA62" s="14">
        <f t="shared" si="24"/>
        <v>5392915.7806215389</v>
      </c>
      <c r="AB62" s="14">
        <f t="shared" si="24"/>
        <v>5497937.7987302272</v>
      </c>
      <c r="AC62" s="14">
        <f t="shared" si="24"/>
        <v>5588443.0856916113</v>
      </c>
      <c r="AD62" s="14">
        <f t="shared" si="24"/>
        <v>5676708.1687498875</v>
      </c>
      <c r="AE62" s="14">
        <f t="shared" si="24"/>
        <v>5759889.5103980666</v>
      </c>
      <c r="AF62" s="14">
        <f t="shared" si="24"/>
        <v>5830983.1944519598</v>
      </c>
      <c r="AG62" s="14">
        <f t="shared" si="24"/>
        <v>5897738.1229370702</v>
      </c>
      <c r="AH62" s="14">
        <f t="shared" si="24"/>
        <v>5952741.1620944031</v>
      </c>
    </row>
    <row r="63" spans="1:34" ht="15.75" customHeight="1" x14ac:dyDescent="0.75">
      <c r="A63" s="7" t="s">
        <v>174</v>
      </c>
      <c r="B63" s="14">
        <f t="shared" si="22"/>
        <v>12842.076186353554</v>
      </c>
      <c r="C63" s="14">
        <f t="shared" si="22"/>
        <v>17257.473459228397</v>
      </c>
      <c r="D63" s="14">
        <f t="shared" si="22"/>
        <v>22845.855716681999</v>
      </c>
      <c r="E63" s="14">
        <f t="shared" si="22"/>
        <v>30031.12047508252</v>
      </c>
      <c r="F63" s="14">
        <f t="shared" si="22"/>
        <v>39155.00987500677</v>
      </c>
      <c r="G63" s="14">
        <f t="shared" si="22"/>
        <v>49618.415426654406</v>
      </c>
      <c r="H63" s="14">
        <f t="shared" si="22"/>
        <v>63614.905849250586</v>
      </c>
      <c r="I63" s="14">
        <f t="shared" si="22"/>
        <v>80423.11522644879</v>
      </c>
      <c r="J63" s="14">
        <f t="shared" si="22"/>
        <v>103688.56219901521</v>
      </c>
      <c r="K63" s="14">
        <f t="shared" si="22"/>
        <v>131285.83807694391</v>
      </c>
      <c r="L63" s="14">
        <f t="shared" si="23"/>
        <v>165526.1936042422</v>
      </c>
      <c r="M63" s="14">
        <f t="shared" si="23"/>
        <v>204736.91572425736</v>
      </c>
      <c r="N63" s="14">
        <f t="shared" si="23"/>
        <v>247326.97575888754</v>
      </c>
      <c r="O63" s="14">
        <f t="shared" si="23"/>
        <v>292435.45803798496</v>
      </c>
      <c r="P63" s="14">
        <f t="shared" si="23"/>
        <v>340031.88231156324</v>
      </c>
      <c r="Q63" s="14">
        <f t="shared" si="23"/>
        <v>389923.0724257346</v>
      </c>
      <c r="R63" s="14">
        <f t="shared" si="23"/>
        <v>436745.31180672045</v>
      </c>
      <c r="S63" s="14">
        <f t="shared" si="23"/>
        <v>480183.97429792763</v>
      </c>
      <c r="T63" s="14">
        <f t="shared" si="23"/>
        <v>519816.44080406911</v>
      </c>
      <c r="U63" s="14">
        <f t="shared" si="23"/>
        <v>555754.53952708188</v>
      </c>
      <c r="V63" s="14">
        <f t="shared" si="24"/>
        <v>587321.44743249833</v>
      </c>
      <c r="W63" s="14">
        <f t="shared" si="24"/>
        <v>613422.09593636717</v>
      </c>
      <c r="X63" s="14">
        <f t="shared" si="24"/>
        <v>637384.41696877882</v>
      </c>
      <c r="Y63" s="14">
        <f t="shared" si="24"/>
        <v>658043.02878632117</v>
      </c>
      <c r="Z63" s="14">
        <f t="shared" si="24"/>
        <v>675656.97987121914</v>
      </c>
      <c r="AA63" s="14">
        <f t="shared" si="24"/>
        <v>691646.66332990641</v>
      </c>
      <c r="AB63" s="14">
        <f t="shared" si="24"/>
        <v>705115.83869920461</v>
      </c>
      <c r="AC63" s="14">
        <f t="shared" si="24"/>
        <v>716723.22926248587</v>
      </c>
      <c r="AD63" s="14">
        <f t="shared" si="24"/>
        <v>728043.31150911748</v>
      </c>
      <c r="AE63" s="14">
        <f t="shared" si="24"/>
        <v>738711.3990043829</v>
      </c>
      <c r="AF63" s="14">
        <f t="shared" si="24"/>
        <v>747829.23272550199</v>
      </c>
      <c r="AG63" s="14">
        <f t="shared" si="24"/>
        <v>756390.61684973759</v>
      </c>
      <c r="AH63" s="14">
        <f t="shared" si="24"/>
        <v>763444.80980466434</v>
      </c>
    </row>
    <row r="64" spans="1:34" ht="15.75" customHeight="1" x14ac:dyDescent="0.75">
      <c r="A64" s="7" t="s">
        <v>175</v>
      </c>
      <c r="B64" s="14">
        <f t="shared" si="22"/>
        <v>2628.3139440506466</v>
      </c>
      <c r="C64" s="14">
        <f t="shared" si="22"/>
        <v>3531.9879335533792</v>
      </c>
      <c r="D64" s="14">
        <f t="shared" si="22"/>
        <v>4675.7300200205618</v>
      </c>
      <c r="E64" s="14">
        <f t="shared" si="22"/>
        <v>6146.2968724636112</v>
      </c>
      <c r="F64" s="14">
        <f t="shared" si="22"/>
        <v>8013.6308911855422</v>
      </c>
      <c r="G64" s="14">
        <f t="shared" si="22"/>
        <v>10155.115983983551</v>
      </c>
      <c r="H64" s="14">
        <f t="shared" si="22"/>
        <v>13019.697256641957</v>
      </c>
      <c r="I64" s="14">
        <f t="shared" si="22"/>
        <v>16459.736891943077</v>
      </c>
      <c r="J64" s="14">
        <f t="shared" si="22"/>
        <v>21221.342243385097</v>
      </c>
      <c r="K64" s="14">
        <f t="shared" si="22"/>
        <v>26869.518126724746</v>
      </c>
      <c r="L64" s="14">
        <f t="shared" si="23"/>
        <v>33877.294951571886</v>
      </c>
      <c r="M64" s="14">
        <f t="shared" si="23"/>
        <v>41902.328147827502</v>
      </c>
      <c r="N64" s="14">
        <f t="shared" si="23"/>
        <v>50618.991017802065</v>
      </c>
      <c r="O64" s="14">
        <f t="shared" si="23"/>
        <v>59851.084898003355</v>
      </c>
      <c r="P64" s="14">
        <f t="shared" si="23"/>
        <v>69592.371570802454</v>
      </c>
      <c r="Q64" s="14">
        <f t="shared" si="23"/>
        <v>79803.314782749847</v>
      </c>
      <c r="R64" s="14">
        <f t="shared" si="23"/>
        <v>89386.153481954447</v>
      </c>
      <c r="S64" s="14">
        <f t="shared" si="23"/>
        <v>98276.494940749966</v>
      </c>
      <c r="T64" s="14">
        <f t="shared" si="23"/>
        <v>106387.84413722201</v>
      </c>
      <c r="U64" s="14">
        <f t="shared" si="23"/>
        <v>113743.08830690981</v>
      </c>
      <c r="V64" s="14">
        <f t="shared" si="24"/>
        <v>120203.70596829176</v>
      </c>
      <c r="W64" s="14">
        <f t="shared" si="24"/>
        <v>125545.57572642174</v>
      </c>
      <c r="X64" s="14">
        <f t="shared" si="24"/>
        <v>130449.80628753855</v>
      </c>
      <c r="Y64" s="14">
        <f t="shared" si="24"/>
        <v>134677.88566636006</v>
      </c>
      <c r="Z64" s="14">
        <f t="shared" si="24"/>
        <v>138282.83182728209</v>
      </c>
      <c r="AA64" s="14">
        <f t="shared" si="24"/>
        <v>141555.34846599211</v>
      </c>
      <c r="AB64" s="14">
        <f t="shared" si="24"/>
        <v>144312.00719658026</v>
      </c>
      <c r="AC64" s="14">
        <f t="shared" si="24"/>
        <v>146687.62512851038</v>
      </c>
      <c r="AD64" s="14">
        <f t="shared" si="24"/>
        <v>149004.4413181105</v>
      </c>
      <c r="AE64" s="14">
        <f t="shared" si="24"/>
        <v>151187.81748823117</v>
      </c>
      <c r="AF64" s="14">
        <f t="shared" si="24"/>
        <v>153053.91212596721</v>
      </c>
      <c r="AG64" s="14">
        <f t="shared" si="24"/>
        <v>154806.12142200099</v>
      </c>
      <c r="AH64" s="14">
        <f t="shared" si="24"/>
        <v>156249.8625615497</v>
      </c>
    </row>
    <row r="65" spans="1:34" ht="15.75" customHeight="1" x14ac:dyDescent="0.75">
      <c r="A65" s="7" t="s">
        <v>176</v>
      </c>
      <c r="B65" s="14">
        <f t="shared" si="22"/>
        <v>2220.3830961528056</v>
      </c>
      <c r="C65" s="14">
        <f t="shared" si="22"/>
        <v>2983.8012012336994</v>
      </c>
      <c r="D65" s="14">
        <f t="shared" si="22"/>
        <v>3950.0273253611817</v>
      </c>
      <c r="E65" s="14">
        <f t="shared" si="22"/>
        <v>5192.3529570910669</v>
      </c>
      <c r="F65" s="14">
        <f t="shared" si="22"/>
        <v>6769.8649964828746</v>
      </c>
      <c r="G65" s="14">
        <f t="shared" si="22"/>
        <v>8578.9781397110546</v>
      </c>
      <c r="H65" s="14">
        <f t="shared" si="22"/>
        <v>10998.958389697527</v>
      </c>
      <c r="I65" s="14">
        <f t="shared" si="22"/>
        <v>13905.082246631675</v>
      </c>
      <c r="J65" s="14">
        <f t="shared" si="22"/>
        <v>17927.656512093501</v>
      </c>
      <c r="K65" s="14">
        <f t="shared" si="22"/>
        <v>22699.199989178076</v>
      </c>
      <c r="L65" s="14">
        <f t="shared" si="23"/>
        <v>28619.325794058761</v>
      </c>
      <c r="M65" s="14">
        <f t="shared" si="23"/>
        <v>35398.823386180404</v>
      </c>
      <c r="N65" s="14">
        <f t="shared" si="23"/>
        <v>42762.605378496832</v>
      </c>
      <c r="O65" s="14">
        <f t="shared" si="23"/>
        <v>50561.820247822085</v>
      </c>
      <c r="P65" s="14">
        <f t="shared" si="23"/>
        <v>58791.197987121908</v>
      </c>
      <c r="Q65" s="14">
        <f t="shared" si="23"/>
        <v>67417.338618040143</v>
      </c>
      <c r="R65" s="14">
        <f t="shared" si="23"/>
        <v>75512.860505383913</v>
      </c>
      <c r="S65" s="14">
        <f t="shared" si="23"/>
        <v>83023.365077647308</v>
      </c>
      <c r="T65" s="14">
        <f t="shared" si="23"/>
        <v>89875.781884097174</v>
      </c>
      <c r="U65" s="14">
        <f t="shared" si="23"/>
        <v>96089.445917428704</v>
      </c>
      <c r="V65" s="14">
        <f t="shared" si="24"/>
        <v>101547.33510091445</v>
      </c>
      <c r="W65" s="14">
        <f t="shared" si="24"/>
        <v>106060.11308911855</v>
      </c>
      <c r="X65" s="14">
        <f t="shared" si="24"/>
        <v>110203.17623505222</v>
      </c>
      <c r="Y65" s="14">
        <f t="shared" si="24"/>
        <v>113775.031113035</v>
      </c>
      <c r="Z65" s="14">
        <f t="shared" si="24"/>
        <v>116820.46696607326</v>
      </c>
      <c r="AA65" s="14">
        <f t="shared" si="24"/>
        <v>119585.06844867702</v>
      </c>
      <c r="AB65" s="14">
        <f t="shared" si="24"/>
        <v>121913.87641361398</v>
      </c>
      <c r="AC65" s="14">
        <f t="shared" si="24"/>
        <v>123920.78350738596</v>
      </c>
      <c r="AD65" s="14">
        <f t="shared" si="24"/>
        <v>125878.01525891456</v>
      </c>
      <c r="AE65" s="14">
        <f t="shared" si="24"/>
        <v>127722.51772090254</v>
      </c>
      <c r="AF65" s="14">
        <f t="shared" si="24"/>
        <v>129298.98273902928</v>
      </c>
      <c r="AG65" s="14">
        <f t="shared" si="24"/>
        <v>130779.23813646447</v>
      </c>
      <c r="AH65" s="14">
        <f t="shared" si="24"/>
        <v>131998.90157459013</v>
      </c>
    </row>
    <row r="66" spans="1:34" ht="15.75" customHeight="1" x14ac:dyDescent="0.75">
      <c r="A66" s="7" t="s">
        <v>177</v>
      </c>
      <c r="B66" s="14">
        <f t="shared" ref="B66:AH66" si="25">SUM(B46:B47)-SUM(B50:B65)</f>
        <v>2175.6311887885095</v>
      </c>
      <c r="C66" s="14">
        <f t="shared" si="25"/>
        <v>2923.6625723716279</v>
      </c>
      <c r="D66" s="14">
        <f t="shared" si="25"/>
        <v>3870.414371516672</v>
      </c>
      <c r="E66" s="14">
        <f t="shared" si="25"/>
        <v>5087.700881986937</v>
      </c>
      <c r="F66" s="14">
        <f t="shared" si="25"/>
        <v>6633.418105081073</v>
      </c>
      <c r="G66" s="14">
        <f t="shared" si="25"/>
        <v>8406.0685027866857</v>
      </c>
      <c r="H66" s="14">
        <f t="shared" si="25"/>
        <v>10777.273957037134</v>
      </c>
      <c r="I66" s="14">
        <f t="shared" si="25"/>
        <v>13624.824774994282</v>
      </c>
      <c r="J66" s="14">
        <f t="shared" si="25"/>
        <v>17566.32390022208</v>
      </c>
      <c r="K66" s="14">
        <f t="shared" si="25"/>
        <v>22241.696733582066</v>
      </c>
      <c r="L66" s="14">
        <f t="shared" si="25"/>
        <v>28042.502173403278</v>
      </c>
      <c r="M66" s="14">
        <f t="shared" si="25"/>
        <v>34685.358728784602</v>
      </c>
      <c r="N66" s="14">
        <f t="shared" si="25"/>
        <v>41900.72340962803</v>
      </c>
      <c r="O66" s="14">
        <f t="shared" si="25"/>
        <v>49542.744800967164</v>
      </c>
      <c r="P66" s="14">
        <f t="shared" si="25"/>
        <v>57606.259112963453</v>
      </c>
      <c r="Q66" s="14">
        <f t="shared" si="25"/>
        <v>66058.539545118809</v>
      </c>
      <c r="R66" s="14">
        <f t="shared" si="25"/>
        <v>73990.895875043236</v>
      </c>
      <c r="S66" s="14">
        <f t="shared" si="25"/>
        <v>81350.025936546735</v>
      </c>
      <c r="T66" s="14">
        <f t="shared" si="25"/>
        <v>88064.33201666642</v>
      </c>
      <c r="U66" s="14">
        <f t="shared" si="25"/>
        <v>94152.759410565719</v>
      </c>
      <c r="V66" s="14">
        <f t="shared" si="25"/>
        <v>99500.644626010209</v>
      </c>
      <c r="W66" s="14">
        <f t="shared" si="25"/>
        <v>103922.46739895083</v>
      </c>
      <c r="X66" s="14">
        <f t="shared" si="25"/>
        <v>107982.02694659308</v>
      </c>
      <c r="Y66" s="14">
        <f t="shared" si="25"/>
        <v>111481.89095106907</v>
      </c>
      <c r="Z66" s="14">
        <f t="shared" si="25"/>
        <v>114465.9459264446</v>
      </c>
      <c r="AA66" s="14">
        <f t="shared" si="25"/>
        <v>117174.82675901242</v>
      </c>
      <c r="AB66" s="14">
        <f t="shared" si="25"/>
        <v>119456.69750915281</v>
      </c>
      <c r="AC66" s="14">
        <f t="shared" si="25"/>
        <v>121423.15531266294</v>
      </c>
      <c r="AD66" s="14">
        <f t="shared" si="25"/>
        <v>123340.93898238055</v>
      </c>
      <c r="AE66" s="14">
        <f t="shared" si="25"/>
        <v>125148.26542575285</v>
      </c>
      <c r="AF66" s="14">
        <f t="shared" si="25"/>
        <v>126692.95673033409</v>
      </c>
      <c r="AG66" s="14">
        <f t="shared" si="25"/>
        <v>128143.37752286345</v>
      </c>
      <c r="AH66" s="14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3">
        <f t="shared" ref="C92:AH92" si="43">SUMPRODUCT(C73:C89,C50:C66)/SUM(C50:C66)</f>
        <v>2745.8606136031603</v>
      </c>
      <c r="D92" s="23">
        <f t="shared" si="43"/>
        <v>2745.8606136031599</v>
      </c>
      <c r="E92" s="23">
        <f t="shared" si="43"/>
        <v>2745.8606136031603</v>
      </c>
      <c r="F92" s="23">
        <f t="shared" si="43"/>
        <v>1913.0458308533109</v>
      </c>
      <c r="G92" s="23">
        <f t="shared" si="43"/>
        <v>1531.9111519939402</v>
      </c>
      <c r="H92" s="23">
        <f t="shared" si="43"/>
        <v>1131.4322818029341</v>
      </c>
      <c r="I92" s="23">
        <f t="shared" si="43"/>
        <v>933.18813916995919</v>
      </c>
      <c r="J92" s="23">
        <f t="shared" si="43"/>
        <v>933.18813916995953</v>
      </c>
      <c r="K92" s="23">
        <f t="shared" si="43"/>
        <v>744.00735890914916</v>
      </c>
      <c r="L92" s="23">
        <f t="shared" si="43"/>
        <v>744.00735890914984</v>
      </c>
      <c r="M92" s="23">
        <f t="shared" si="43"/>
        <v>621.92251501542137</v>
      </c>
      <c r="N92" s="23">
        <f t="shared" si="43"/>
        <v>240.24673989502756</v>
      </c>
      <c r="O92" s="23">
        <f t="shared" si="43"/>
        <v>18.397272874844433</v>
      </c>
      <c r="P92" s="23">
        <f t="shared" si="43"/>
        <v>18.397272874844436</v>
      </c>
      <c r="Q92" s="23">
        <f t="shared" si="43"/>
        <v>18.397272874844433</v>
      </c>
      <c r="R92" s="23">
        <f t="shared" si="43"/>
        <v>18.397272874844436</v>
      </c>
      <c r="S92" s="23">
        <f t="shared" si="43"/>
        <v>18.397272874844433</v>
      </c>
      <c r="T92" s="23">
        <f t="shared" si="43"/>
        <v>18.397272874844433</v>
      </c>
      <c r="U92" s="23">
        <f t="shared" si="43"/>
        <v>18.397272874844436</v>
      </c>
      <c r="V92" s="23">
        <f t="shared" si="43"/>
        <v>0</v>
      </c>
      <c r="W92" s="23">
        <f t="shared" si="43"/>
        <v>0</v>
      </c>
      <c r="X92" s="23">
        <f t="shared" si="43"/>
        <v>0</v>
      </c>
      <c r="Y92" s="23">
        <f t="shared" si="43"/>
        <v>0</v>
      </c>
      <c r="Z92" s="23">
        <f t="shared" si="43"/>
        <v>0</v>
      </c>
      <c r="AA92" s="23">
        <f t="shared" si="43"/>
        <v>0</v>
      </c>
      <c r="AB92" s="23">
        <f t="shared" si="43"/>
        <v>0</v>
      </c>
      <c r="AC92" s="23">
        <f t="shared" si="43"/>
        <v>0</v>
      </c>
      <c r="AD92" s="23">
        <f t="shared" si="43"/>
        <v>0</v>
      </c>
      <c r="AE92" s="23">
        <f t="shared" si="43"/>
        <v>0</v>
      </c>
      <c r="AF92" s="23">
        <f t="shared" si="43"/>
        <v>0</v>
      </c>
      <c r="AG92" s="23">
        <f t="shared" si="43"/>
        <v>0</v>
      </c>
      <c r="AH92" s="23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640625" defaultRowHeight="15" customHeight="1" x14ac:dyDescent="0.65"/>
  <cols>
    <col min="1" max="2" width="7.6640625" customWidth="1"/>
    <col min="3" max="3" width="23.5" customWidth="1"/>
    <col min="4" max="26" width="7.6640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640625" defaultRowHeight="15" customHeight="1" x14ac:dyDescent="0.65"/>
  <cols>
    <col min="1" max="1" width="25.1640625" customWidth="1"/>
    <col min="2" max="2" width="15.1640625" customWidth="1"/>
    <col min="3" max="26" width="7.6640625" customWidth="1"/>
  </cols>
  <sheetData>
    <row r="1" spans="1:4" ht="14.75" x14ac:dyDescent="0.75">
      <c r="A1" s="30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31"/>
      <c r="B2" s="7" t="s">
        <v>266</v>
      </c>
      <c r="C2" s="7" t="s">
        <v>267</v>
      </c>
      <c r="D2" s="7" t="s">
        <v>268</v>
      </c>
    </row>
    <row r="3" spans="1:4" ht="14.75" x14ac:dyDescent="0.75">
      <c r="A3" s="31"/>
      <c r="C3" s="7">
        <v>200000</v>
      </c>
      <c r="D3" s="7" t="s">
        <v>269</v>
      </c>
    </row>
    <row r="4" spans="1:4" ht="14.75" x14ac:dyDescent="0.75">
      <c r="A4" s="31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tabSelected="1" workbookViewId="0">
      <selection activeCell="E2" sqref="E2"/>
    </sheetView>
  </sheetViews>
  <sheetFormatPr defaultColWidth="12.6640625" defaultRowHeight="15" customHeight="1" x14ac:dyDescent="0.65"/>
  <cols>
    <col min="1" max="1" width="13.5" customWidth="1"/>
    <col min="2" max="36" width="7.6640625" customWidth="1"/>
  </cols>
  <sheetData>
    <row r="1" spans="1:36" ht="48" customHeight="1" x14ac:dyDescent="0.75">
      <c r="A1" s="16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9">
        <f>C2</f>
        <v>4653.658931496745</v>
      </c>
      <c r="C2" s="29">
        <f>D2</f>
        <v>4653.658931496745</v>
      </c>
      <c r="D2" s="29">
        <f>E2</f>
        <v>4653.658931496745</v>
      </c>
      <c r="E2" s="11">
        <f>Data!A33*About!$A45</f>
        <v>4653.658931496745</v>
      </c>
      <c r="F2" s="11">
        <f>Data!B33*About!$A45</f>
        <v>4653.6589314967441</v>
      </c>
      <c r="G2" s="11">
        <f>Data!C33*About!$A45</f>
        <v>4653.658931496745</v>
      </c>
      <c r="H2" s="11">
        <f>Data!D33*About!$A45</f>
        <v>3914.8600503415046</v>
      </c>
      <c r="I2" s="11">
        <f>Data!E33*About!$A45</f>
        <v>3576.7514094489679</v>
      </c>
      <c r="J2" s="11">
        <f>Data!F33*About!$A45</f>
        <v>3221.4823299947179</v>
      </c>
      <c r="K2" s="11">
        <f>Data!G33*About!$A45</f>
        <v>3045.6178355038528</v>
      </c>
      <c r="L2" s="11">
        <f>Data!H33*About!$A45</f>
        <v>3045.6178355038533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640625" defaultRowHeight="15" customHeight="1" x14ac:dyDescent="0.65"/>
  <cols>
    <col min="1" max="1" width="14.6640625" customWidth="1"/>
    <col min="2" max="36" width="7.6640625" customWidth="1"/>
  </cols>
  <sheetData>
    <row r="1" spans="1:36" ht="48" customHeight="1" x14ac:dyDescent="0.75">
      <c r="A1" s="16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2023-04-12T22:07:30Z</dcterms:modified>
</cp:coreProperties>
</file>