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MA\trans\BLP\"/>
    </mc:Choice>
  </mc:AlternateContent>
  <xr:revisionPtr revIDLastSave="0" documentId="8_{A3F23091-7F45-4CA1-9EDA-FBD270503B3C}" xr6:coauthVersionLast="47" xr6:coauthVersionMax="47" xr10:uidLastSave="{00000000-0000-0000-0000-000000000000}"/>
  <bookViews>
    <workbookView xWindow="3510" yWindow="1110" windowWidth="13035" windowHeight="16890" activeTab="2" xr2:uid="{00000000-000D-0000-FFFF-FFFF00000000}"/>
  </bookViews>
  <sheets>
    <sheet name="About" sheetId="1" r:id="rId1"/>
    <sheet name="CA" sheetId="4" r:id="rId2"/>
    <sheet name="BLP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2" i="1" l="1"/>
  <c r="E2" i="3" s="1"/>
  <c r="B2" i="3" l="1"/>
  <c r="C2" i="3"/>
  <c r="D2" i="3"/>
  <c r="F2" i="3"/>
  <c r="G2" i="3" s="1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  <c r="AF2" i="3" s="1"/>
  <c r="AG2" i="3" s="1"/>
  <c r="AH2" i="3" s="1"/>
</calcChain>
</file>

<file path=xl/sharedStrings.xml><?xml version="1.0" encoding="utf-8"?>
<sst xmlns="http://schemas.openxmlformats.org/spreadsheetml/2006/main" count="115" uniqueCount="113">
  <si>
    <t>BLP BAU LCFS Percentage</t>
  </si>
  <si>
    <t>Source:</t>
  </si>
  <si>
    <t>BAU LCFS Perc</t>
  </si>
  <si>
    <t>California Air Resource Board</t>
  </si>
  <si>
    <t>https://www.arb.ca.gov/regact/2018/lcfs18/isor.pdf</t>
  </si>
  <si>
    <t>"The amendments also propose smoothing the near-term benchmark schedule by linearly reducing by 1.25 percent annually from a 5 percent reduction in 2018 to the 20 percent value in 2030."</t>
  </si>
  <si>
    <t>Notes</t>
  </si>
  <si>
    <t>STAFF REPORT: INITIAL STATEMENT OF REASONS</t>
  </si>
  <si>
    <t>Adopted amendments to regulatory schedule.</t>
  </si>
  <si>
    <t>2018 historical level</t>
  </si>
  <si>
    <t xml:space="preserve">2030 is the current limit of the regulatory schedule. Later values are held constant at the 2030 level. </t>
  </si>
  <si>
    <t>Annual increment on path to 2030</t>
  </si>
  <si>
    <t>Colorado</t>
  </si>
  <si>
    <t>State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</si>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</sst>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sz val="11"/>
      <name val="Arial"/>
      <family val="2"/>
    </font>
    <font>
      <u/>
      <sz val="11"/>
      <color theme="10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11"/>
      <color rgb="FF403F4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</fills>
  <borders count="5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</borders>
  <cellStyleXfs count="10">
    <xf numFmtId="0" fontId="0" fillId="0" borderId="0"/>
    <xf numFmtId="9" fontId="1" fillId="0" borderId="0" applyFont="0" applyFill="0" applyBorder="0" applyAlignment="0" applyProtection="0"/>
    <xf numFmtId="0" fontId="3" fillId="0" borderId="0"/>
    <xf numFmtId="0" fontId="3" fillId="0" borderId="1" applyNumberFormat="0" applyProtection="0">
      <alignment wrapText="1"/>
    </xf>
    <xf numFmtId="0" fontId="4" fillId="0" borderId="2" applyNumberFormat="0" applyProtection="0">
      <alignment wrapText="1"/>
    </xf>
    <xf numFmtId="0" fontId="3" fillId="0" borderId="3" applyNumberFormat="0" applyFont="0" applyProtection="0">
      <alignment wrapText="1"/>
    </xf>
    <xf numFmtId="0" fontId="4" fillId="0" borderId="4" applyNumberFormat="0" applyProtection="0">
      <alignment wrapText="1"/>
    </xf>
    <xf numFmtId="0" fontId="3" fillId="0" borderId="0" applyNumberFormat="0" applyFill="0" applyBorder="0" applyAlignment="0" applyProtection="0"/>
    <xf numFmtId="0" fontId="5" fillId="0" borderId="0" applyNumberFormat="0" applyProtection="0">
      <alignment horizontal="left"/>
    </xf>
    <xf numFmtId="0" fontId="7" fillId="0" borderId="0" applyNumberFormat="0" applyFill="0" applyBorder="0" applyAlignment="0" applyProtection="0"/>
  </cellStyleXfs>
  <cellXfs count="14">
    <xf numFmtId="0" fontId="0" fillId="0" borderId="0" xfId="0"/>
    <xf numFmtId="0" fontId="2" fillId="0" borderId="0" xfId="0" applyFont="1"/>
    <xf numFmtId="0" fontId="2" fillId="2" borderId="0" xfId="0" applyFont="1" applyFill="1"/>
    <xf numFmtId="0" fontId="6" fillId="0" borderId="0" xfId="0" applyFont="1"/>
    <xf numFmtId="9" fontId="0" fillId="0" borderId="0" xfId="1" applyFont="1"/>
    <xf numFmtId="2" fontId="0" fillId="0" borderId="0" xfId="1" applyNumberFormat="1" applyFont="1"/>
    <xf numFmtId="0" fontId="0" fillId="0" borderId="0" xfId="0" applyAlignment="1">
      <alignment wrapText="1"/>
    </xf>
    <xf numFmtId="0" fontId="7" fillId="0" borderId="0" xfId="9"/>
    <xf numFmtId="0" fontId="8" fillId="0" borderId="0" xfId="0" applyFont="1"/>
    <xf numFmtId="14" fontId="0" fillId="0" borderId="0" xfId="0" applyNumberFormat="1"/>
    <xf numFmtId="0" fontId="9" fillId="0" borderId="0" xfId="0" applyFont="1" applyAlignment="1">
      <alignment vertical="center"/>
    </xf>
    <xf numFmtId="0" fontId="0" fillId="3" borderId="0" xfId="0" applyFill="1"/>
    <xf numFmtId="0" fontId="0" fillId="4" borderId="0" xfId="0" applyFill="1"/>
    <xf numFmtId="0" fontId="0" fillId="5" borderId="0" xfId="0" applyFill="1"/>
  </cellXfs>
  <cellStyles count="10">
    <cellStyle name="Body: normal cell" xfId="5" xr:uid="{00000000-0005-0000-0000-000000000000}"/>
    <cellStyle name="Font: Calibri, 9pt regular" xfId="7" xr:uid="{00000000-0005-0000-0000-000001000000}"/>
    <cellStyle name="Footnotes: top row" xfId="3" xr:uid="{00000000-0005-0000-0000-000002000000}"/>
    <cellStyle name="Header: bottom row" xfId="6" xr:uid="{00000000-0005-0000-0000-000003000000}"/>
    <cellStyle name="Hyperlink" xfId="9" builtinId="8"/>
    <cellStyle name="Normal" xfId="0" builtinId="0"/>
    <cellStyle name="Normal 2" xfId="2" xr:uid="{00000000-0005-0000-0000-000006000000}"/>
    <cellStyle name="Parent row" xfId="4" xr:uid="{00000000-0005-0000-0000-000007000000}"/>
    <cellStyle name="Percent" xfId="1" builtinId="5"/>
    <cellStyle name="Table title" xfId="8" xr:uid="{00000000-0005-0000-0000-000009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1</xdr:row>
      <xdr:rowOff>0</xdr:rowOff>
    </xdr:from>
    <xdr:to>
      <xdr:col>12</xdr:col>
      <xdr:colOff>261937</xdr:colOff>
      <xdr:row>21</xdr:row>
      <xdr:rowOff>9914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C7D3D5-6178-4752-A0D6-2DF92DB4B0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38400" y="187325"/>
          <a:ext cx="5138737" cy="375641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arb.ca.gov/regact/2018/lcfs18/isor.pdf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51"/>
  <sheetViews>
    <sheetView workbookViewId="0">
      <selection activeCell="B1" sqref="B1"/>
    </sheetView>
  </sheetViews>
  <sheetFormatPr defaultRowHeight="15" x14ac:dyDescent="0.25"/>
  <cols>
    <col min="1" max="1" width="24" customWidth="1"/>
    <col min="2" max="2" width="56.7109375" customWidth="1"/>
  </cols>
  <sheetData>
    <row r="1" spans="1:6" x14ac:dyDescent="0.25">
      <c r="A1" s="1" t="s">
        <v>0</v>
      </c>
      <c r="B1" s="8" t="s">
        <v>53</v>
      </c>
      <c r="C1" s="9">
        <v>45258</v>
      </c>
      <c r="E1" s="10" t="s">
        <v>13</v>
      </c>
      <c r="F1" s="10" t="s">
        <v>13</v>
      </c>
    </row>
    <row r="2" spans="1:6" x14ac:dyDescent="0.25">
      <c r="B2" t="str">
        <f>LOOKUP(B1,E2:F51,F2:F51)</f>
        <v>MA</v>
      </c>
      <c r="E2" s="8" t="s">
        <v>14</v>
      </c>
      <c r="F2" s="8" t="s">
        <v>15</v>
      </c>
    </row>
    <row r="3" spans="1:6" x14ac:dyDescent="0.25">
      <c r="A3" s="1" t="s">
        <v>1</v>
      </c>
      <c r="B3" s="2" t="s">
        <v>3</v>
      </c>
      <c r="E3" s="8" t="s">
        <v>16</v>
      </c>
      <c r="F3" s="8" t="s">
        <v>17</v>
      </c>
    </row>
    <row r="4" spans="1:6" x14ac:dyDescent="0.25">
      <c r="A4" s="1"/>
      <c r="B4" t="s">
        <v>7</v>
      </c>
      <c r="E4" s="8" t="s">
        <v>18</v>
      </c>
      <c r="F4" s="8" t="s">
        <v>19</v>
      </c>
    </row>
    <row r="5" spans="1:6" x14ac:dyDescent="0.25">
      <c r="B5" s="7" t="s">
        <v>4</v>
      </c>
      <c r="E5" s="8" t="s">
        <v>20</v>
      </c>
      <c r="F5" s="8" t="s">
        <v>21</v>
      </c>
    </row>
    <row r="6" spans="1:6" x14ac:dyDescent="0.25">
      <c r="B6" t="s">
        <v>5</v>
      </c>
      <c r="E6" s="8" t="s">
        <v>22</v>
      </c>
      <c r="F6" s="8" t="s">
        <v>23</v>
      </c>
    </row>
    <row r="7" spans="1:6" x14ac:dyDescent="0.25">
      <c r="B7" t="s">
        <v>8</v>
      </c>
      <c r="E7" s="8" t="s">
        <v>12</v>
      </c>
      <c r="F7" s="8" t="s">
        <v>24</v>
      </c>
    </row>
    <row r="8" spans="1:6" x14ac:dyDescent="0.25">
      <c r="E8" s="8" t="s">
        <v>25</v>
      </c>
      <c r="F8" s="8" t="s">
        <v>26</v>
      </c>
    </row>
    <row r="9" spans="1:6" x14ac:dyDescent="0.25">
      <c r="E9" s="8" t="s">
        <v>27</v>
      </c>
      <c r="F9" s="8" t="s">
        <v>28</v>
      </c>
    </row>
    <row r="10" spans="1:6" x14ac:dyDescent="0.25">
      <c r="A10" s="1" t="s">
        <v>6</v>
      </c>
      <c r="E10" s="8" t="s">
        <v>29</v>
      </c>
      <c r="F10" s="8" t="s">
        <v>30</v>
      </c>
    </row>
    <row r="11" spans="1:6" x14ac:dyDescent="0.25">
      <c r="E11" s="8" t="s">
        <v>31</v>
      </c>
      <c r="F11" s="8" t="s">
        <v>32</v>
      </c>
    </row>
    <row r="12" spans="1:6" x14ac:dyDescent="0.25">
      <c r="E12" s="8" t="s">
        <v>33</v>
      </c>
      <c r="F12" s="8" t="s">
        <v>34</v>
      </c>
    </row>
    <row r="13" spans="1:6" x14ac:dyDescent="0.25">
      <c r="E13" s="8" t="s">
        <v>35</v>
      </c>
      <c r="F13" s="8" t="s">
        <v>36</v>
      </c>
    </row>
    <row r="14" spans="1:6" x14ac:dyDescent="0.25">
      <c r="E14" s="8" t="s">
        <v>37</v>
      </c>
      <c r="F14" s="8" t="s">
        <v>38</v>
      </c>
    </row>
    <row r="15" spans="1:6" x14ac:dyDescent="0.25">
      <c r="E15" s="8" t="s">
        <v>39</v>
      </c>
      <c r="F15" s="8" t="s">
        <v>40</v>
      </c>
    </row>
    <row r="16" spans="1:6" x14ac:dyDescent="0.25">
      <c r="E16" s="8" t="s">
        <v>41</v>
      </c>
      <c r="F16" s="8" t="s">
        <v>42</v>
      </c>
    </row>
    <row r="17" spans="1:17" x14ac:dyDescent="0.25">
      <c r="E17" s="8" t="s">
        <v>43</v>
      </c>
      <c r="F17" s="8" t="s">
        <v>44</v>
      </c>
    </row>
    <row r="18" spans="1:17" x14ac:dyDescent="0.25">
      <c r="E18" s="8" t="s">
        <v>45</v>
      </c>
      <c r="F18" s="8" t="s">
        <v>46</v>
      </c>
    </row>
    <row r="19" spans="1:17" x14ac:dyDescent="0.25">
      <c r="E19" s="8" t="s">
        <v>47</v>
      </c>
      <c r="F19" s="8" t="s">
        <v>48</v>
      </c>
    </row>
    <row r="20" spans="1:17" x14ac:dyDescent="0.25">
      <c r="E20" s="8" t="s">
        <v>49</v>
      </c>
      <c r="F20" s="8" t="s">
        <v>50</v>
      </c>
    </row>
    <row r="21" spans="1:17" x14ac:dyDescent="0.25">
      <c r="E21" s="8" t="s">
        <v>51</v>
      </c>
      <c r="F21" s="8" t="s">
        <v>52</v>
      </c>
    </row>
    <row r="22" spans="1:17" x14ac:dyDescent="0.25">
      <c r="E22" s="8" t="s">
        <v>53</v>
      </c>
      <c r="F22" s="8" t="s">
        <v>54</v>
      </c>
    </row>
    <row r="23" spans="1:17" x14ac:dyDescent="0.25">
      <c r="E23" s="8" t="s">
        <v>55</v>
      </c>
      <c r="F23" s="8" t="s">
        <v>56</v>
      </c>
    </row>
    <row r="24" spans="1:17" x14ac:dyDescent="0.25">
      <c r="E24" s="8" t="s">
        <v>57</v>
      </c>
      <c r="F24" s="8" t="s">
        <v>58</v>
      </c>
    </row>
    <row r="25" spans="1:17" x14ac:dyDescent="0.25">
      <c r="B25" s="5"/>
      <c r="C25" s="5"/>
      <c r="D25" s="5"/>
      <c r="E25" s="8" t="s">
        <v>59</v>
      </c>
      <c r="F25" s="8" t="s">
        <v>60</v>
      </c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</row>
    <row r="26" spans="1:17" x14ac:dyDescent="0.25">
      <c r="B26" s="5"/>
      <c r="C26" s="5"/>
      <c r="D26" s="5"/>
      <c r="E26" s="8" t="s">
        <v>61</v>
      </c>
      <c r="F26" s="8" t="s">
        <v>62</v>
      </c>
    </row>
    <row r="27" spans="1:17" x14ac:dyDescent="0.25">
      <c r="A27" s="6"/>
      <c r="B27" s="5"/>
      <c r="C27" s="5"/>
      <c r="D27" s="5"/>
      <c r="E27" s="8" t="s">
        <v>63</v>
      </c>
      <c r="F27" s="8" t="s">
        <v>64</v>
      </c>
    </row>
    <row r="28" spans="1:17" x14ac:dyDescent="0.25">
      <c r="E28" s="8" t="s">
        <v>65</v>
      </c>
      <c r="F28" s="8" t="s">
        <v>66</v>
      </c>
    </row>
    <row r="29" spans="1:17" x14ac:dyDescent="0.25">
      <c r="E29" s="8" t="s">
        <v>67</v>
      </c>
      <c r="F29" s="8" t="s">
        <v>68</v>
      </c>
    </row>
    <row r="30" spans="1:17" x14ac:dyDescent="0.25">
      <c r="E30" s="8" t="s">
        <v>69</v>
      </c>
      <c r="F30" s="8" t="s">
        <v>70</v>
      </c>
    </row>
    <row r="31" spans="1:17" x14ac:dyDescent="0.25">
      <c r="E31" s="8" t="s">
        <v>71</v>
      </c>
      <c r="F31" s="8" t="s">
        <v>72</v>
      </c>
    </row>
    <row r="32" spans="1:17" x14ac:dyDescent="0.25">
      <c r="E32" s="8" t="s">
        <v>73</v>
      </c>
      <c r="F32" s="8" t="s">
        <v>74</v>
      </c>
    </row>
    <row r="33" spans="5:6" x14ac:dyDescent="0.25">
      <c r="E33" s="8" t="s">
        <v>75</v>
      </c>
      <c r="F33" s="8" t="s">
        <v>76</v>
      </c>
    </row>
    <row r="34" spans="5:6" x14ac:dyDescent="0.25">
      <c r="E34" s="8" t="s">
        <v>77</v>
      </c>
      <c r="F34" s="8" t="s">
        <v>78</v>
      </c>
    </row>
    <row r="35" spans="5:6" x14ac:dyDescent="0.25">
      <c r="E35" s="8" t="s">
        <v>79</v>
      </c>
      <c r="F35" s="8" t="s">
        <v>80</v>
      </c>
    </row>
    <row r="36" spans="5:6" x14ac:dyDescent="0.25">
      <c r="E36" s="8" t="s">
        <v>81</v>
      </c>
      <c r="F36" s="8" t="s">
        <v>82</v>
      </c>
    </row>
    <row r="37" spans="5:6" x14ac:dyDescent="0.25">
      <c r="E37" s="8" t="s">
        <v>83</v>
      </c>
      <c r="F37" s="8" t="s">
        <v>84</v>
      </c>
    </row>
    <row r="38" spans="5:6" x14ac:dyDescent="0.25">
      <c r="E38" s="8" t="s">
        <v>85</v>
      </c>
      <c r="F38" s="8" t="s">
        <v>86</v>
      </c>
    </row>
    <row r="39" spans="5:6" x14ac:dyDescent="0.25">
      <c r="E39" s="8" t="s">
        <v>87</v>
      </c>
      <c r="F39" s="8" t="s">
        <v>88</v>
      </c>
    </row>
    <row r="40" spans="5:6" x14ac:dyDescent="0.25">
      <c r="E40" s="8" t="s">
        <v>89</v>
      </c>
      <c r="F40" s="8" t="s">
        <v>90</v>
      </c>
    </row>
    <row r="41" spans="5:6" x14ac:dyDescent="0.25">
      <c r="E41" s="8" t="s">
        <v>91</v>
      </c>
      <c r="F41" s="8" t="s">
        <v>92</v>
      </c>
    </row>
    <row r="42" spans="5:6" x14ac:dyDescent="0.25">
      <c r="E42" s="8" t="s">
        <v>93</v>
      </c>
      <c r="F42" s="8" t="s">
        <v>94</v>
      </c>
    </row>
    <row r="43" spans="5:6" x14ac:dyDescent="0.25">
      <c r="E43" s="8" t="s">
        <v>95</v>
      </c>
      <c r="F43" s="8" t="s">
        <v>96</v>
      </c>
    </row>
    <row r="44" spans="5:6" x14ac:dyDescent="0.25">
      <c r="E44" s="8" t="s">
        <v>97</v>
      </c>
      <c r="F44" s="8" t="s">
        <v>98</v>
      </c>
    </row>
    <row r="45" spans="5:6" x14ac:dyDescent="0.25">
      <c r="E45" s="8" t="s">
        <v>99</v>
      </c>
      <c r="F45" s="8" t="s">
        <v>100</v>
      </c>
    </row>
    <row r="46" spans="5:6" x14ac:dyDescent="0.25">
      <c r="E46" s="8" t="s">
        <v>101</v>
      </c>
      <c r="F46" s="8" t="s">
        <v>102</v>
      </c>
    </row>
    <row r="47" spans="5:6" x14ac:dyDescent="0.25">
      <c r="E47" s="8" t="s">
        <v>103</v>
      </c>
      <c r="F47" s="8" t="s">
        <v>104</v>
      </c>
    </row>
    <row r="48" spans="5:6" x14ac:dyDescent="0.25">
      <c r="E48" s="8" t="s">
        <v>105</v>
      </c>
      <c r="F48" s="8" t="s">
        <v>106</v>
      </c>
    </row>
    <row r="49" spans="5:6" x14ac:dyDescent="0.25">
      <c r="E49" s="8" t="s">
        <v>107</v>
      </c>
      <c r="F49" s="8" t="s">
        <v>108</v>
      </c>
    </row>
    <row r="50" spans="5:6" x14ac:dyDescent="0.25">
      <c r="E50" s="8" t="s">
        <v>109</v>
      </c>
      <c r="F50" s="8" t="s">
        <v>110</v>
      </c>
    </row>
    <row r="51" spans="5:6" x14ac:dyDescent="0.25">
      <c r="E51" s="8" t="s">
        <v>111</v>
      </c>
      <c r="F51" s="8" t="s">
        <v>112</v>
      </c>
    </row>
  </sheetData>
  <hyperlinks>
    <hyperlink ref="B5" r:id="rId1" xr:uid="{00000000-0004-0000-0000-00000000000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345DB-5104-4418-B999-526D8ADFEBDA}">
  <dimension ref="A1:C4"/>
  <sheetViews>
    <sheetView workbookViewId="0">
      <selection activeCell="E2" sqref="E2"/>
    </sheetView>
  </sheetViews>
  <sheetFormatPr defaultRowHeight="15" x14ac:dyDescent="0.25"/>
  <sheetData>
    <row r="1" spans="1:3" x14ac:dyDescent="0.25">
      <c r="A1" t="s">
        <v>10</v>
      </c>
    </row>
    <row r="3" spans="1:3" x14ac:dyDescent="0.25">
      <c r="A3" t="s">
        <v>11</v>
      </c>
      <c r="C3">
        <v>1.2500000000000001E-2</v>
      </c>
    </row>
    <row r="4" spans="1:3" x14ac:dyDescent="0.25">
      <c r="A4" t="s">
        <v>9</v>
      </c>
      <c r="C4">
        <v>3.5000000000000003E-2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AH5"/>
  <sheetViews>
    <sheetView tabSelected="1" workbookViewId="0">
      <selection activeCell="A2" sqref="A2"/>
    </sheetView>
  </sheetViews>
  <sheetFormatPr defaultRowHeight="15" x14ac:dyDescent="0.25"/>
  <cols>
    <col min="1" max="1" width="15.85546875" customWidth="1"/>
  </cols>
  <sheetData>
    <row r="1" spans="1:34" x14ac:dyDescent="0.25">
      <c r="B1">
        <v>2018</v>
      </c>
      <c r="C1">
        <v>2019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  <c r="K1">
        <v>2027</v>
      </c>
      <c r="L1">
        <v>2028</v>
      </c>
      <c r="M1">
        <v>2029</v>
      </c>
      <c r="N1">
        <v>2030</v>
      </c>
      <c r="O1">
        <v>2031</v>
      </c>
      <c r="P1">
        <v>2032</v>
      </c>
      <c r="Q1">
        <v>2033</v>
      </c>
      <c r="R1">
        <v>2034</v>
      </c>
      <c r="S1">
        <v>2035</v>
      </c>
      <c r="T1">
        <v>2036</v>
      </c>
      <c r="U1">
        <v>2037</v>
      </c>
      <c r="V1">
        <v>2038</v>
      </c>
      <c r="W1">
        <v>2039</v>
      </c>
      <c r="X1">
        <v>2040</v>
      </c>
      <c r="Y1">
        <v>2041</v>
      </c>
      <c r="Z1">
        <v>2042</v>
      </c>
      <c r="AA1">
        <v>2043</v>
      </c>
      <c r="AB1">
        <v>2044</v>
      </c>
      <c r="AC1">
        <v>2045</v>
      </c>
      <c r="AD1">
        <v>2046</v>
      </c>
      <c r="AE1">
        <v>2047</v>
      </c>
      <c r="AF1">
        <v>2048</v>
      </c>
      <c r="AG1">
        <v>2049</v>
      </c>
      <c r="AH1">
        <v>2050</v>
      </c>
    </row>
    <row r="2" spans="1:34" x14ac:dyDescent="0.25">
      <c r="A2" t="s">
        <v>2</v>
      </c>
      <c r="B2" s="11">
        <f>IF(About!B2="ca",0.05,0)</f>
        <v>0</v>
      </c>
      <c r="C2" s="12">
        <f>IF(About!$B$2="ca",B2+CA!$C$3,0)</f>
        <v>0</v>
      </c>
      <c r="D2" s="12">
        <f>IF(About!$B$2="ca",C2+CA!$C$3,0)</f>
        <v>0</v>
      </c>
      <c r="E2" s="12">
        <f>IF(About!$B$2="ca",D2+CA!$C$3,0)</f>
        <v>0</v>
      </c>
      <c r="F2" s="12">
        <f>IF(About!$B$2="ca",E2+CA!$C$3,0)</f>
        <v>0</v>
      </c>
      <c r="G2" s="12">
        <f>IF(About!$B$2="ca",F2+CA!$C$3,0)</f>
        <v>0</v>
      </c>
      <c r="H2" s="12">
        <f>IF(About!$B$2="ca",G2+CA!$C$3,0)</f>
        <v>0</v>
      </c>
      <c r="I2" s="12">
        <f>IF(About!$B$2="ca",H2+CA!$C$3,0)</f>
        <v>0</v>
      </c>
      <c r="J2" s="12">
        <f>IF(About!$B$2="ca",I2+CA!$C$3,0)</f>
        <v>0</v>
      </c>
      <c r="K2" s="12">
        <f>IF(About!$B$2="ca",J2+CA!$C$3,0)</f>
        <v>0</v>
      </c>
      <c r="L2" s="12">
        <f>IF(About!$B$2="ca",K2+CA!$C$3,0)</f>
        <v>0</v>
      </c>
      <c r="M2" s="12">
        <f>IF(About!$B$2="ca",L2+CA!$C$3,0)</f>
        <v>0</v>
      </c>
      <c r="N2" s="12">
        <f>IF(About!$B$2="ca",M2+CA!$C$3,0)</f>
        <v>0</v>
      </c>
      <c r="O2" s="13">
        <f t="shared" ref="O2:AH2" si="0">N2</f>
        <v>0</v>
      </c>
      <c r="P2">
        <f t="shared" si="0"/>
        <v>0</v>
      </c>
      <c r="Q2">
        <f t="shared" si="0"/>
        <v>0</v>
      </c>
      <c r="R2">
        <f t="shared" si="0"/>
        <v>0</v>
      </c>
      <c r="S2">
        <f t="shared" si="0"/>
        <v>0</v>
      </c>
      <c r="T2">
        <f t="shared" si="0"/>
        <v>0</v>
      </c>
      <c r="U2">
        <f t="shared" si="0"/>
        <v>0</v>
      </c>
      <c r="V2">
        <f t="shared" si="0"/>
        <v>0</v>
      </c>
      <c r="W2">
        <f t="shared" si="0"/>
        <v>0</v>
      </c>
      <c r="X2">
        <f t="shared" si="0"/>
        <v>0</v>
      </c>
      <c r="Y2">
        <f t="shared" si="0"/>
        <v>0</v>
      </c>
      <c r="Z2">
        <f t="shared" si="0"/>
        <v>0</v>
      </c>
      <c r="AA2">
        <f t="shared" si="0"/>
        <v>0</v>
      </c>
      <c r="AB2">
        <f t="shared" si="0"/>
        <v>0</v>
      </c>
      <c r="AC2">
        <f t="shared" si="0"/>
        <v>0</v>
      </c>
      <c r="AD2">
        <f t="shared" si="0"/>
        <v>0</v>
      </c>
      <c r="AE2">
        <f t="shared" si="0"/>
        <v>0</v>
      </c>
      <c r="AF2">
        <f t="shared" si="0"/>
        <v>0</v>
      </c>
      <c r="AG2">
        <f t="shared" si="0"/>
        <v>0</v>
      </c>
      <c r="AH2">
        <f t="shared" si="0"/>
        <v>0</v>
      </c>
    </row>
    <row r="3" spans="1:34" x14ac:dyDescent="0.25">
      <c r="B3" s="4"/>
      <c r="C3" s="4"/>
      <c r="D3" s="4"/>
      <c r="E3" s="4"/>
      <c r="F3" s="4"/>
    </row>
    <row r="5" spans="1:34" x14ac:dyDescent="0.25">
      <c r="B5" s="3"/>
      <c r="C5" s="3"/>
      <c r="D5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CA</vt:lpstr>
      <vt:lpstr>BLP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2017-06-17T02:28:17Z</dcterms:created>
  <dcterms:modified xsi:type="dcterms:W3CDTF">2023-11-28T22:09:56Z</dcterms:modified>
</cp:coreProperties>
</file>