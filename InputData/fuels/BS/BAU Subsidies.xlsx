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MA\fuels\BS\"/>
    </mc:Choice>
  </mc:AlternateContent>
  <xr:revisionPtr revIDLastSave="0" documentId="8_{B427B922-AB5D-4E52-9E0C-FE07D93DEE0A}" xr6:coauthVersionLast="47" xr6:coauthVersionMax="47" xr10:uidLastSave="{00000000-0000-0000-0000-000000000000}"/>
  <bookViews>
    <workbookView xWindow="13650" yWindow="1050" windowWidth="13545" windowHeight="16185" tabRatio="955" activeTab="1"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24" l="1"/>
  <c r="E15" i="16"/>
  <c r="F15" i="16"/>
  <c r="G15" i="16"/>
  <c r="H15" i="16"/>
  <c r="I15" i="16"/>
  <c r="J15" i="16"/>
  <c r="K15" i="16"/>
  <c r="L15" i="16"/>
  <c r="M15" i="16"/>
  <c r="N15" i="16"/>
  <c r="D15" i="16"/>
  <c r="E11" i="16"/>
  <c r="F11" i="16"/>
  <c r="G11" i="16"/>
  <c r="H11" i="16"/>
  <c r="I11" i="16"/>
  <c r="J11" i="16"/>
  <c r="K11" i="16"/>
  <c r="L11" i="16"/>
  <c r="M11" i="16"/>
  <c r="N11" i="16"/>
  <c r="D11" i="16"/>
  <c r="E9" i="16"/>
  <c r="F9" i="16"/>
  <c r="G9" i="16"/>
  <c r="H9" i="16"/>
  <c r="I9" i="16"/>
  <c r="J9" i="16"/>
  <c r="K9" i="16"/>
  <c r="L9" i="16"/>
  <c r="M9" i="16"/>
  <c r="N9" i="16"/>
  <c r="D9" i="16"/>
  <c r="B9" i="16"/>
  <c r="C8" i="16" l="1"/>
  <c r="B8" i="16"/>
  <c r="AE237" i="24"/>
  <c r="AF237" i="24"/>
  <c r="E237" i="24"/>
  <c r="F237" i="24"/>
  <c r="G237" i="24"/>
  <c r="H237" i="24"/>
  <c r="I237" i="24"/>
  <c r="J237" i="24"/>
  <c r="K237" i="24"/>
  <c r="L237" i="24"/>
  <c r="M237" i="24"/>
  <c r="N237" i="24"/>
  <c r="O237" i="24"/>
  <c r="P237" i="24"/>
  <c r="Q237" i="24"/>
  <c r="R237" i="24"/>
  <c r="S237" i="24"/>
  <c r="T237" i="24"/>
  <c r="U237" i="24"/>
  <c r="V237" i="24"/>
  <c r="W237" i="24"/>
  <c r="X237" i="24"/>
  <c r="Y237" i="24"/>
  <c r="Z237" i="24"/>
  <c r="AA237" i="24"/>
  <c r="AB237" i="24"/>
  <c r="AC237" i="24"/>
  <c r="AD237" i="24"/>
  <c r="B99" i="24"/>
  <c r="B40" i="24" l="1"/>
  <c r="A8" i="24"/>
  <c r="B222" i="24" l="1"/>
  <c r="B223" i="24" s="1"/>
  <c r="R95" i="24" l="1"/>
  <c r="E22" i="10"/>
  <c r="F22" i="10"/>
  <c r="G22" i="10"/>
  <c r="H22" i="10"/>
  <c r="D22" i="10"/>
  <c r="I22" i="10"/>
  <c r="J22" i="10"/>
  <c r="K22" i="10"/>
  <c r="M22" i="10"/>
  <c r="L22" i="10"/>
  <c r="C15" i="16"/>
  <c r="B15" i="16"/>
  <c r="C11" i="16"/>
  <c r="B11" i="16"/>
  <c r="C9" i="16"/>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B134"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T95" i="24" l="1"/>
  <c r="L95" i="24"/>
  <c r="H95" i="24"/>
  <c r="D95" i="24"/>
  <c r="N95" i="24"/>
  <c r="O96" i="24"/>
  <c r="E96" i="24"/>
  <c r="D96" i="24"/>
  <c r="W96"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S95" i="24" l="1"/>
  <c r="I95" i="24"/>
  <c r="X95" i="24"/>
  <c r="Y95" i="24" s="1"/>
  <c r="K95" i="24"/>
  <c r="L96" i="24"/>
  <c r="M95" i="24"/>
  <c r="V96" i="24"/>
  <c r="E95" i="24"/>
  <c r="C96" i="24"/>
  <c r="Q95" i="24"/>
  <c r="O95" i="24"/>
  <c r="G95" i="24"/>
  <c r="V95" i="24"/>
  <c r="U95" i="24"/>
  <c r="W95" i="24"/>
  <c r="C95" i="24"/>
  <c r="F95" i="24"/>
  <c r="J95" i="24"/>
  <c r="N96" i="24"/>
  <c r="I96" i="24"/>
  <c r="S96" i="24"/>
  <c r="F96" i="24"/>
  <c r="Q96" i="24"/>
  <c r="B96" i="24"/>
  <c r="R96" i="24"/>
  <c r="C5" i="19"/>
  <c r="D5" i="19"/>
  <c r="N5" i="19"/>
  <c r="O5" i="19"/>
  <c r="P5" i="19"/>
  <c r="Q5" i="19"/>
  <c r="R5" i="19"/>
  <c r="S5" i="19"/>
  <c r="T5" i="19"/>
  <c r="U5" i="19"/>
  <c r="V5" i="19"/>
  <c r="W5" i="19"/>
  <c r="X5" i="19"/>
  <c r="Y5" i="19"/>
  <c r="Z5" i="19"/>
  <c r="AA5" i="19"/>
  <c r="AB5" i="19"/>
  <c r="AC5" i="19"/>
  <c r="AD5" i="19"/>
  <c r="AE5" i="19"/>
  <c r="B5" i="19"/>
  <c r="AC162" i="24"/>
  <c r="AE15" i="16" s="1"/>
  <c r="AB162" i="24"/>
  <c r="AD15" i="16" s="1"/>
  <c r="AA162" i="24"/>
  <c r="AC15" i="16" s="1"/>
  <c r="Z162" i="24"/>
  <c r="AB15" i="16" s="1"/>
  <c r="Y162" i="24"/>
  <c r="AA15" i="16" s="1"/>
  <c r="X162" i="24"/>
  <c r="Z15" i="16" s="1"/>
  <c r="W162" i="24"/>
  <c r="Y15" i="16" s="1"/>
  <c r="V162" i="24"/>
  <c r="X15" i="16" s="1"/>
  <c r="U162" i="24"/>
  <c r="W15" i="16" s="1"/>
  <c r="T162" i="24"/>
  <c r="V15" i="16" s="1"/>
  <c r="S162" i="24"/>
  <c r="U15" i="16" s="1"/>
  <c r="R162" i="24"/>
  <c r="T15" i="16" s="1"/>
  <c r="Q162" i="24"/>
  <c r="S15" i="16" s="1"/>
  <c r="P162" i="24"/>
  <c r="R15" i="16" s="1"/>
  <c r="O162" i="24"/>
  <c r="Q15" i="16" s="1"/>
  <c r="N162" i="24"/>
  <c r="P15" i="16" s="1"/>
  <c r="M162" i="24"/>
  <c r="O15" i="16" s="1"/>
  <c r="L162" i="24"/>
  <c r="K162" i="24"/>
  <c r="J162" i="24"/>
  <c r="I162" i="24"/>
  <c r="H162" i="24"/>
  <c r="G162" i="24"/>
  <c r="F162" i="24"/>
  <c r="E162" i="24"/>
  <c r="D162" i="24"/>
  <c r="AC159" i="24"/>
  <c r="AE11" i="16" s="1"/>
  <c r="AB159" i="24"/>
  <c r="AD11" i="16" s="1"/>
  <c r="AA159" i="24"/>
  <c r="AC11" i="16" s="1"/>
  <c r="Z159" i="24"/>
  <c r="AB11" i="16" s="1"/>
  <c r="Y159" i="24"/>
  <c r="AA11" i="16" s="1"/>
  <c r="X159" i="24"/>
  <c r="Z11" i="16" s="1"/>
  <c r="W159" i="24"/>
  <c r="Y11" i="16" s="1"/>
  <c r="V159" i="24"/>
  <c r="X11" i="16" s="1"/>
  <c r="U159" i="24"/>
  <c r="W11" i="16" s="1"/>
  <c r="T159" i="24"/>
  <c r="V11" i="16" s="1"/>
  <c r="S159" i="24"/>
  <c r="U11" i="16" s="1"/>
  <c r="R159" i="24"/>
  <c r="T11" i="16" s="1"/>
  <c r="Q159" i="24"/>
  <c r="S11" i="16" s="1"/>
  <c r="P159" i="24"/>
  <c r="R11" i="16" s="1"/>
  <c r="O159" i="24"/>
  <c r="Q11" i="16" s="1"/>
  <c r="N159" i="24"/>
  <c r="P11" i="16" s="1"/>
  <c r="M159" i="24"/>
  <c r="O11" i="16" s="1"/>
  <c r="L159" i="24"/>
  <c r="K159" i="24"/>
  <c r="J159" i="24"/>
  <c r="I159" i="24"/>
  <c r="H159" i="24"/>
  <c r="G159" i="24"/>
  <c r="F159" i="24"/>
  <c r="E159" i="24"/>
  <c r="D159" i="24"/>
  <c r="C159" i="24" s="1"/>
  <c r="B159" i="24" s="1"/>
  <c r="AC156" i="24"/>
  <c r="AE9" i="16" s="1"/>
  <c r="AB156" i="24"/>
  <c r="AD9" i="16" s="1"/>
  <c r="AA156" i="24"/>
  <c r="AC9" i="16" s="1"/>
  <c r="Z156" i="24"/>
  <c r="AB9" i="16" s="1"/>
  <c r="Y156" i="24"/>
  <c r="AA9" i="16" s="1"/>
  <c r="X156" i="24"/>
  <c r="Z9" i="16" s="1"/>
  <c r="W156" i="24"/>
  <c r="Y9" i="16" s="1"/>
  <c r="V156" i="24"/>
  <c r="X9" i="16" s="1"/>
  <c r="U156" i="24"/>
  <c r="W9" i="16" s="1"/>
  <c r="T156" i="24"/>
  <c r="V9" i="16" s="1"/>
  <c r="S156" i="24"/>
  <c r="U9" i="16" s="1"/>
  <c r="R156" i="24"/>
  <c r="T9" i="16" s="1"/>
  <c r="Q156" i="24"/>
  <c r="S9" i="16" s="1"/>
  <c r="P156" i="24"/>
  <c r="R9" i="16" s="1"/>
  <c r="O156" i="24"/>
  <c r="Q9" i="16" s="1"/>
  <c r="N156" i="24"/>
  <c r="P9" i="16" s="1"/>
  <c r="M156" i="24"/>
  <c r="O9" i="16" s="1"/>
  <c r="L156" i="24"/>
  <c r="K156" i="24"/>
  <c r="J156" i="24"/>
  <c r="I156" i="24"/>
  <c r="H156" i="24"/>
  <c r="G156" i="24"/>
  <c r="F156" i="24"/>
  <c r="E156" i="24"/>
  <c r="D156" i="24"/>
  <c r="B100" i="24"/>
  <c r="B63" i="24"/>
  <c r="B44"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Z95" i="24" l="1"/>
  <c r="AB95" i="24"/>
  <c r="AC95" i="24"/>
  <c r="AA95" i="24"/>
  <c r="AG14" i="14"/>
  <c r="AC14" i="14"/>
  <c r="V14" i="14"/>
  <c r="AD14" i="14"/>
  <c r="W14" i="14"/>
  <c r="AE14" i="14"/>
  <c r="X14" i="14"/>
  <c r="AF14" i="14"/>
  <c r="Y14" i="14"/>
  <c r="Z14" i="14"/>
  <c r="AA14" i="14"/>
  <c r="AB14" i="14"/>
  <c r="E135" i="24"/>
  <c r="E136" i="24" s="1"/>
  <c r="G5" i="19" s="1"/>
  <c r="G135" i="24"/>
  <c r="G136" i="24" s="1"/>
  <c r="I5" i="19" s="1"/>
  <c r="K135" i="24"/>
  <c r="K136" i="24" s="1"/>
  <c r="M5" i="19" s="1"/>
  <c r="AA135" i="24"/>
  <c r="AA136" i="24" s="1"/>
  <c r="B135" i="24"/>
  <c r="B136" i="24" s="1"/>
  <c r="Q135" i="24"/>
  <c r="Q136" i="24" s="1"/>
  <c r="Y135" i="24"/>
  <c r="Y136" i="24" s="1"/>
  <c r="J135" i="24"/>
  <c r="J136" i="24" s="1"/>
  <c r="L5" i="19" s="1"/>
  <c r="AB135" i="24"/>
  <c r="AB136" i="24" s="1"/>
  <c r="S135" i="24"/>
  <c r="S136" i="24" s="1"/>
  <c r="I135" i="24"/>
  <c r="I136" i="24" s="1"/>
  <c r="K5" i="19" s="1"/>
  <c r="V135" i="24"/>
  <c r="V136" i="24" s="1"/>
  <c r="X135" i="24"/>
  <c r="X136" i="24" s="1"/>
  <c r="T135" i="24"/>
  <c r="T136" i="24" s="1"/>
  <c r="Z135" i="24"/>
  <c r="Z136" i="24" s="1"/>
  <c r="AC135" i="24"/>
  <c r="AC136" i="24" s="1"/>
  <c r="N135" i="24"/>
  <c r="N136" i="24" s="1"/>
  <c r="L135" i="24"/>
  <c r="L136" i="24" s="1"/>
  <c r="R135" i="24"/>
  <c r="R136" i="24" s="1"/>
  <c r="U135" i="24"/>
  <c r="U136" i="24" s="1"/>
  <c r="C135" i="24"/>
  <c r="C136" i="24" s="1"/>
  <c r="E5" i="19" s="1"/>
  <c r="F135" i="24"/>
  <c r="F136" i="24" s="1"/>
  <c r="H5" i="19" s="1"/>
  <c r="D135" i="24"/>
  <c r="D136" i="24" s="1"/>
  <c r="F5" i="19" s="1"/>
  <c r="P135" i="24"/>
  <c r="P136" i="24" s="1"/>
  <c r="W135" i="24"/>
  <c r="W136" i="24" s="1"/>
  <c r="H135" i="24"/>
  <c r="H136" i="24" s="1"/>
  <c r="J5" i="19" s="1"/>
  <c r="O135" i="24"/>
  <c r="O136" i="24" s="1"/>
  <c r="M135" i="24"/>
  <c r="M136" i="24" s="1"/>
  <c r="M96" i="24"/>
  <c r="T96" i="24"/>
  <c r="P95" i="24"/>
  <c r="X96" i="24"/>
  <c r="J96" i="24"/>
  <c r="G96" i="24"/>
  <c r="I115" i="24" s="1"/>
  <c r="P96" i="24"/>
  <c r="K96" i="24"/>
  <c r="H96" i="24"/>
  <c r="U96" i="24"/>
  <c r="K114" i="24"/>
  <c r="K115" i="24" s="1"/>
  <c r="S114" i="24"/>
  <c r="S115" i="24" s="1"/>
  <c r="AA114" i="24"/>
  <c r="L114" i="24"/>
  <c r="T114" i="24"/>
  <c r="T115" i="24" s="1"/>
  <c r="AB114" i="24"/>
  <c r="I114" i="24"/>
  <c r="R114" i="24"/>
  <c r="Z114" i="24"/>
  <c r="M114" i="24"/>
  <c r="U114" i="24"/>
  <c r="U115" i="24" s="1"/>
  <c r="AC114" i="24"/>
  <c r="N114" i="24"/>
  <c r="N115" i="24" s="1"/>
  <c r="V114" i="24"/>
  <c r="H114" i="24"/>
  <c r="H115" i="24" s="1"/>
  <c r="Q114" i="24"/>
  <c r="Q115" i="24" s="1"/>
  <c r="Y114" i="24"/>
  <c r="Y115" i="24" s="1"/>
  <c r="O114" i="24"/>
  <c r="O115" i="24" s="1"/>
  <c r="W114" i="24"/>
  <c r="P114" i="24"/>
  <c r="P115" i="24" s="1"/>
  <c r="X114" i="24"/>
  <c r="X115" i="24" s="1"/>
  <c r="D114" i="24"/>
  <c r="D115" i="24" s="1"/>
  <c r="J114" i="24"/>
  <c r="G130" i="24"/>
  <c r="G131" i="24" s="1"/>
  <c r="O130" i="24"/>
  <c r="O131" i="24" s="1"/>
  <c r="J126" i="24"/>
  <c r="J127" i="24" s="1"/>
  <c r="F122" i="24"/>
  <c r="F123" i="24" s="1"/>
  <c r="N122" i="24"/>
  <c r="N123" i="24" s="1"/>
  <c r="D130" i="24"/>
  <c r="D131" i="24" s="1"/>
  <c r="H130" i="24"/>
  <c r="H131" i="24" s="1"/>
  <c r="P130" i="24"/>
  <c r="P131" i="24" s="1"/>
  <c r="K126" i="24"/>
  <c r="K127" i="24" s="1"/>
  <c r="G122" i="24"/>
  <c r="G123" i="24" s="1"/>
  <c r="O122" i="24"/>
  <c r="O123" i="24" s="1"/>
  <c r="E114" i="24"/>
  <c r="E115" i="24" s="1"/>
  <c r="D126" i="24"/>
  <c r="D127" i="24" s="1"/>
  <c r="K122" i="24"/>
  <c r="K123" i="24" s="1"/>
  <c r="L130" i="24"/>
  <c r="L131" i="24" s="1"/>
  <c r="I130" i="24"/>
  <c r="I131" i="24" s="1"/>
  <c r="Q126" i="24"/>
  <c r="Q127" i="24" s="1"/>
  <c r="L126" i="24"/>
  <c r="L127" i="24" s="1"/>
  <c r="H122" i="24"/>
  <c r="H123" i="24" s="1"/>
  <c r="P122" i="24"/>
  <c r="P123" i="24" s="1"/>
  <c r="F114" i="24"/>
  <c r="F115" i="24" s="1"/>
  <c r="D122" i="24"/>
  <c r="D123" i="24" s="1"/>
  <c r="G114" i="24"/>
  <c r="G115" i="24" s="1"/>
  <c r="G126" i="24"/>
  <c r="J130" i="24"/>
  <c r="J131" i="24" s="1"/>
  <c r="J132" i="24" s="1"/>
  <c r="L18" i="19" s="1"/>
  <c r="E126" i="24"/>
  <c r="E127" i="24" s="1"/>
  <c r="M126" i="24"/>
  <c r="M127" i="24" s="1"/>
  <c r="I122" i="24"/>
  <c r="I123" i="24" s="1"/>
  <c r="Q122" i="24"/>
  <c r="Q123" i="24" s="1"/>
  <c r="K130" i="24"/>
  <c r="K131" i="24" s="1"/>
  <c r="F126" i="24"/>
  <c r="N126" i="24"/>
  <c r="N127" i="24" s="1"/>
  <c r="J122" i="24"/>
  <c r="O126" i="24"/>
  <c r="O127" i="24" s="1"/>
  <c r="Q130" i="24"/>
  <c r="Q131" i="24" s="1"/>
  <c r="E130" i="24"/>
  <c r="E131" i="24" s="1"/>
  <c r="M130" i="24"/>
  <c r="M131" i="24" s="1"/>
  <c r="H126" i="24"/>
  <c r="H127" i="24" s="1"/>
  <c r="P126" i="24"/>
  <c r="P127" i="24" s="1"/>
  <c r="L122" i="24"/>
  <c r="L123" i="24" s="1"/>
  <c r="F130" i="24"/>
  <c r="F131" i="24" s="1"/>
  <c r="N130" i="24"/>
  <c r="N131" i="24" s="1"/>
  <c r="I126" i="24"/>
  <c r="I127" i="24" s="1"/>
  <c r="E122" i="24"/>
  <c r="E123" i="24" s="1"/>
  <c r="M122" i="24"/>
  <c r="M123" i="24" s="1"/>
  <c r="B67" i="24"/>
  <c r="C67" i="24" s="1"/>
  <c r="B64" i="24"/>
  <c r="H73" i="24" s="1"/>
  <c r="R73" i="24" s="1"/>
  <c r="R74" i="24" s="1"/>
  <c r="S153" i="24" s="1"/>
  <c r="K14" i="14"/>
  <c r="S14" i="14"/>
  <c r="Q14" i="14"/>
  <c r="R14" i="14"/>
  <c r="L14" i="14"/>
  <c r="M14" i="14"/>
  <c r="U14" i="14"/>
  <c r="J14" i="14"/>
  <c r="N14" i="14"/>
  <c r="P14" i="14"/>
  <c r="T14" i="14"/>
  <c r="O14" i="14"/>
  <c r="H14" i="14"/>
  <c r="I14" i="14"/>
  <c r="R122" i="24"/>
  <c r="C156" i="24"/>
  <c r="Z122" i="24"/>
  <c r="Z123" i="24" s="1"/>
  <c r="F127" i="24"/>
  <c r="B73" i="24"/>
  <c r="B74" i="24" s="1"/>
  <c r="AB130" i="24"/>
  <c r="AB131" i="24" s="1"/>
  <c r="V126" i="24"/>
  <c r="V127" i="24" s="1"/>
  <c r="C162" i="24"/>
  <c r="AC122" i="24"/>
  <c r="AC123" i="24" s="1"/>
  <c r="Y126" i="24"/>
  <c r="Y127" i="24" s="1"/>
  <c r="V122" i="24"/>
  <c r="V123" i="24" s="1"/>
  <c r="R126" i="24"/>
  <c r="R127" i="24" s="1"/>
  <c r="Z126" i="24"/>
  <c r="Z127" i="24" s="1"/>
  <c r="V130" i="24"/>
  <c r="V131" i="24" s="1"/>
  <c r="U122" i="24"/>
  <c r="U123" i="24" s="1"/>
  <c r="U130" i="24"/>
  <c r="U131" i="24" s="1"/>
  <c r="AC130" i="24"/>
  <c r="AC131" i="24" s="1"/>
  <c r="W122" i="24"/>
  <c r="W123" i="24" s="1"/>
  <c r="S126" i="24"/>
  <c r="S127" i="24" s="1"/>
  <c r="AA126" i="24"/>
  <c r="AA127" i="24" s="1"/>
  <c r="W130" i="24"/>
  <c r="W131" i="24" s="1"/>
  <c r="X122" i="24"/>
  <c r="X123" i="24" s="1"/>
  <c r="T126" i="24"/>
  <c r="T127" i="24" s="1"/>
  <c r="AB126" i="24"/>
  <c r="AB127" i="24" s="1"/>
  <c r="X130" i="24"/>
  <c r="X131" i="24" s="1"/>
  <c r="Y122" i="24"/>
  <c r="Y123" i="24" s="1"/>
  <c r="U126" i="24"/>
  <c r="U127" i="24" s="1"/>
  <c r="AC126" i="24"/>
  <c r="AC127" i="24" s="1"/>
  <c r="Y130" i="24"/>
  <c r="Y131" i="24" s="1"/>
  <c r="R130" i="24"/>
  <c r="R131" i="24" s="1"/>
  <c r="S122" i="24"/>
  <c r="S123" i="24" s="1"/>
  <c r="AA122" i="24"/>
  <c r="AA123" i="24" s="1"/>
  <c r="G127" i="24"/>
  <c r="W126" i="24"/>
  <c r="W127" i="24" s="1"/>
  <c r="S130" i="24"/>
  <c r="S131" i="24" s="1"/>
  <c r="AA130" i="24"/>
  <c r="AA131" i="24" s="1"/>
  <c r="Z130" i="24"/>
  <c r="Z131" i="24" s="1"/>
  <c r="T122" i="24"/>
  <c r="T123" i="24" s="1"/>
  <c r="AB122" i="24"/>
  <c r="AB123" i="24" s="1"/>
  <c r="X126" i="24"/>
  <c r="X127" i="24" s="1"/>
  <c r="T130" i="24"/>
  <c r="T131"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Z115" i="24" l="1"/>
  <c r="V115" i="24"/>
  <c r="R115" i="24"/>
  <c r="L115" i="24"/>
  <c r="J115" i="24"/>
  <c r="W115" i="24"/>
  <c r="Z96" i="24"/>
  <c r="AB115" i="24" s="1"/>
  <c r="AD7" i="19" s="1"/>
  <c r="Y96" i="24"/>
  <c r="AA115" i="24" s="1"/>
  <c r="AC7" i="19" s="1"/>
  <c r="AC96" i="24"/>
  <c r="AA96" i="24"/>
  <c r="AC115" i="24" s="1"/>
  <c r="AE7" i="19" s="1"/>
  <c r="AB96" i="24"/>
  <c r="M115" i="24"/>
  <c r="O7" i="19" s="1"/>
  <c r="S117" i="24"/>
  <c r="D67" i="24"/>
  <c r="E67" i="24" s="1"/>
  <c r="F67" i="24" s="1"/>
  <c r="G67" i="24" s="1"/>
  <c r="X73" i="24"/>
  <c r="X74" i="24" s="1"/>
  <c r="W73" i="24"/>
  <c r="W74" i="24" s="1"/>
  <c r="J123" i="24"/>
  <c r="J124" i="24" s="1"/>
  <c r="X7" i="19"/>
  <c r="Y73" i="24"/>
  <c r="Y74" i="24" s="1"/>
  <c r="R123" i="24"/>
  <c r="R124" i="24" s="1"/>
  <c r="L73" i="24"/>
  <c r="L74" i="24" s="1"/>
  <c r="M117" i="24" s="1"/>
  <c r="M118" i="24" s="1"/>
  <c r="Z73" i="24"/>
  <c r="Z74" i="24" s="1"/>
  <c r="AA117" i="24" s="1"/>
  <c r="AA118" i="24" s="1"/>
  <c r="V73" i="24"/>
  <c r="V74" i="24" s="1"/>
  <c r="O73" i="24"/>
  <c r="O74" i="24" s="1"/>
  <c r="B156" i="24"/>
  <c r="C73" i="24"/>
  <c r="C74" i="24" s="1"/>
  <c r="T73" i="24"/>
  <c r="T74" i="24" s="1"/>
  <c r="AD73" i="24"/>
  <c r="AD74" i="24" s="1"/>
  <c r="I73" i="24"/>
  <c r="I74" i="24" s="1"/>
  <c r="U73" i="24"/>
  <c r="U74" i="24" s="1"/>
  <c r="Q73" i="24"/>
  <c r="Q74" i="24" s="1"/>
  <c r="R117" i="24" s="1"/>
  <c r="AB73" i="24"/>
  <c r="AB74" i="24" s="1"/>
  <c r="AC117" i="24" s="1"/>
  <c r="AC118" i="24" s="1"/>
  <c r="J73" i="24"/>
  <c r="J74" i="24" s="1"/>
  <c r="K117" i="24" s="1"/>
  <c r="K118" i="24" s="1"/>
  <c r="M73" i="24"/>
  <c r="M74" i="24" s="1"/>
  <c r="K73" i="24"/>
  <c r="K74" i="24" s="1"/>
  <c r="L117" i="24" s="1"/>
  <c r="L118" i="24" s="1"/>
  <c r="AC73" i="24"/>
  <c r="AC74" i="24" s="1"/>
  <c r="H74" i="24"/>
  <c r="I117" i="24" s="1"/>
  <c r="I118" i="24" s="1"/>
  <c r="S73" i="24"/>
  <c r="S74" i="24" s="1"/>
  <c r="N73" i="24"/>
  <c r="N74" i="24" s="1"/>
  <c r="P73" i="24"/>
  <c r="P74" i="24" s="1"/>
  <c r="Q117" i="24" s="1"/>
  <c r="Q118" i="24" s="1"/>
  <c r="AA73" i="24"/>
  <c r="AA74" i="24" s="1"/>
  <c r="Z124" i="24"/>
  <c r="H128" i="24"/>
  <c r="R7" i="19"/>
  <c r="G128" i="24"/>
  <c r="R132" i="24"/>
  <c r="T18" i="19" s="1"/>
  <c r="Y124" i="24"/>
  <c r="V7" i="19"/>
  <c r="G132" i="24"/>
  <c r="I18" i="19" s="1"/>
  <c r="I128" i="24"/>
  <c r="J128" i="24"/>
  <c r="T7" i="19"/>
  <c r="AA7" i="19"/>
  <c r="F128" i="24"/>
  <c r="P128" i="24"/>
  <c r="I7" i="19"/>
  <c r="W7" i="19"/>
  <c r="M132" i="24"/>
  <c r="O18" i="19" s="1"/>
  <c r="AB124" i="24"/>
  <c r="Y132" i="24"/>
  <c r="AA18" i="19" s="1"/>
  <c r="G7" i="19"/>
  <c r="V124" i="24"/>
  <c r="S124" i="24"/>
  <c r="I124" i="24"/>
  <c r="X132" i="24"/>
  <c r="Z18" i="19" s="1"/>
  <c r="S128" i="24"/>
  <c r="N124" i="24"/>
  <c r="P7" i="19"/>
  <c r="L124" i="24"/>
  <c r="K124" i="24"/>
  <c r="I132" i="24"/>
  <c r="K18" i="19" s="1"/>
  <c r="P132" i="24"/>
  <c r="R18" i="19" s="1"/>
  <c r="H124" i="24"/>
  <c r="Q128" i="24"/>
  <c r="K128" i="24"/>
  <c r="U7" i="19"/>
  <c r="V132" i="24"/>
  <c r="X18" i="19" s="1"/>
  <c r="F124" i="24"/>
  <c r="E132" i="24"/>
  <c r="G18" i="19" s="1"/>
  <c r="AB132" i="24"/>
  <c r="AD18" i="19" s="1"/>
  <c r="N128" i="24"/>
  <c r="T132" i="24"/>
  <c r="V18" i="19" s="1"/>
  <c r="AA132" i="24"/>
  <c r="AC18" i="19" s="1"/>
  <c r="L132" i="24"/>
  <c r="N18" i="19" s="1"/>
  <c r="S132" i="24"/>
  <c r="U18" i="19" s="1"/>
  <c r="AC128" i="24"/>
  <c r="H132" i="24"/>
  <c r="J18" i="19" s="1"/>
  <c r="E124" i="24"/>
  <c r="W124" i="24"/>
  <c r="M7" i="19"/>
  <c r="N132" i="24"/>
  <c r="P18" i="19" s="1"/>
  <c r="Y128" i="24"/>
  <c r="Z7" i="19"/>
  <c r="E128" i="24"/>
  <c r="O132" i="24"/>
  <c r="Q18" i="19" s="1"/>
  <c r="AB7" i="19"/>
  <c r="H7" i="19"/>
  <c r="J7" i="19"/>
  <c r="Q124" i="24"/>
  <c r="X124" i="24"/>
  <c r="AA128" i="24"/>
  <c r="U124" i="24"/>
  <c r="K7" i="19"/>
  <c r="Z132" i="24"/>
  <c r="AB18" i="19" s="1"/>
  <c r="K132" i="24"/>
  <c r="M18" i="19" s="1"/>
  <c r="U128" i="24"/>
  <c r="AB128" i="24"/>
  <c r="AC132" i="24"/>
  <c r="AE18" i="19" s="1"/>
  <c r="AC124" i="24"/>
  <c r="B162" i="24"/>
  <c r="O128" i="24"/>
  <c r="L128" i="24"/>
  <c r="R128" i="24"/>
  <c r="AA124" i="24"/>
  <c r="N7" i="19"/>
  <c r="L7" i="19"/>
  <c r="T124" i="24"/>
  <c r="Q132" i="24"/>
  <c r="S18" i="19" s="1"/>
  <c r="P124" i="24"/>
  <c r="S7" i="19"/>
  <c r="Y7" i="19"/>
  <c r="O124" i="24"/>
  <c r="F132" i="24"/>
  <c r="H18" i="19" s="1"/>
  <c r="X128" i="24"/>
  <c r="W128" i="24"/>
  <c r="Q7" i="19"/>
  <c r="M128" i="24"/>
  <c r="T128" i="24"/>
  <c r="W132" i="24"/>
  <c r="Y18" i="19" s="1"/>
  <c r="G124" i="24"/>
  <c r="U132" i="24"/>
  <c r="W18" i="19" s="1"/>
  <c r="Z128" i="24"/>
  <c r="M124" i="24"/>
  <c r="V128" i="24"/>
  <c r="C130" i="24"/>
  <c r="C131" i="24" s="1"/>
  <c r="D132" i="24"/>
  <c r="F18" i="19" s="1"/>
  <c r="F7" i="19"/>
  <c r="C114" i="24"/>
  <c r="C115" i="24" s="1"/>
  <c r="C122" i="24"/>
  <c r="C123" i="24" s="1"/>
  <c r="D124" i="24"/>
  <c r="D128" i="24"/>
  <c r="C126" i="24"/>
  <c r="C127" i="24" s="1"/>
  <c r="D46" i="14"/>
  <c r="R118" i="24" l="1"/>
  <c r="R119" i="24" s="1"/>
  <c r="T8" i="19" s="1"/>
  <c r="S118" i="24"/>
  <c r="S119" i="24" s="1"/>
  <c r="U8" i="19" s="1"/>
  <c r="T153" i="24"/>
  <c r="T117" i="24"/>
  <c r="T118" i="24" s="1"/>
  <c r="T119" i="24" s="1"/>
  <c r="V8" i="19" s="1"/>
  <c r="V153" i="24"/>
  <c r="V117" i="24"/>
  <c r="V118" i="24" s="1"/>
  <c r="V119" i="24" s="1"/>
  <c r="X8" i="19" s="1"/>
  <c r="W153" i="24"/>
  <c r="W117" i="24"/>
  <c r="W118" i="24" s="1"/>
  <c r="X153" i="24"/>
  <c r="X117" i="24"/>
  <c r="Y153" i="24"/>
  <c r="Y117" i="24"/>
  <c r="Y118" i="24" s="1"/>
  <c r="Y119" i="24" s="1"/>
  <c r="AA8" i="19" s="1"/>
  <c r="Z153" i="24"/>
  <c r="Z117" i="24"/>
  <c r="Z118" i="24" s="1"/>
  <c r="Z119" i="24" s="1"/>
  <c r="AB8" i="19" s="1"/>
  <c r="AB153" i="24"/>
  <c r="AB117" i="24"/>
  <c r="AB118" i="24" s="1"/>
  <c r="U153" i="24"/>
  <c r="U117" i="24"/>
  <c r="D153" i="24"/>
  <c r="C153" i="24" s="1"/>
  <c r="B153" i="24" s="1"/>
  <c r="D117" i="24"/>
  <c r="D118" i="24" s="1"/>
  <c r="N153" i="24"/>
  <c r="N117" i="24"/>
  <c r="O153" i="24"/>
  <c r="O117" i="24"/>
  <c r="P153" i="24"/>
  <c r="P117" i="24"/>
  <c r="I153" i="24"/>
  <c r="J153" i="24"/>
  <c r="J117" i="24"/>
  <c r="G14" i="14"/>
  <c r="F14" i="14"/>
  <c r="D73" i="24"/>
  <c r="D74" i="24" s="1"/>
  <c r="E117" i="24" s="1"/>
  <c r="E118" i="24" s="1"/>
  <c r="AA153" i="24"/>
  <c r="M153" i="24"/>
  <c r="K153" i="24"/>
  <c r="Q153" i="24"/>
  <c r="AC153" i="24"/>
  <c r="R153" i="24"/>
  <c r="L153" i="24"/>
  <c r="C124" i="24"/>
  <c r="B122" i="24"/>
  <c r="B123" i="24" s="1"/>
  <c r="E7" i="19"/>
  <c r="B114" i="24"/>
  <c r="B115" i="24" s="1"/>
  <c r="C128" i="24"/>
  <c r="B126" i="24"/>
  <c r="B127" i="24" s="1"/>
  <c r="B130" i="24"/>
  <c r="B131" i="24" s="1"/>
  <c r="C132" i="24"/>
  <c r="E18" i="19" s="1"/>
  <c r="A30" i="17"/>
  <c r="O118" i="24" l="1"/>
  <c r="O119" i="24" s="1"/>
  <c r="Q8" i="19" s="1"/>
  <c r="U118" i="24"/>
  <c r="U119" i="24" s="1"/>
  <c r="W8" i="19" s="1"/>
  <c r="X118" i="24"/>
  <c r="X119" i="24" s="1"/>
  <c r="Z8" i="19" s="1"/>
  <c r="N118" i="24"/>
  <c r="N119" i="24" s="1"/>
  <c r="P8" i="19" s="1"/>
  <c r="P118" i="24"/>
  <c r="P119" i="24" s="1"/>
  <c r="R8" i="19" s="1"/>
  <c r="J118" i="24"/>
  <c r="J119" i="24" s="1"/>
  <c r="L8" i="19" s="1"/>
  <c r="E73" i="24"/>
  <c r="F73" i="24" s="1"/>
  <c r="AC119" i="24"/>
  <c r="AE8" i="19" s="1"/>
  <c r="M119" i="24"/>
  <c r="O8" i="19" s="1"/>
  <c r="W119" i="24"/>
  <c r="Y8" i="19" s="1"/>
  <c r="Q119" i="24"/>
  <c r="S8" i="19" s="1"/>
  <c r="AA119" i="24"/>
  <c r="AC8" i="19" s="1"/>
  <c r="L119" i="24"/>
  <c r="N8" i="19" s="1"/>
  <c r="K119" i="24"/>
  <c r="M8" i="19" s="1"/>
  <c r="I119" i="24"/>
  <c r="K8" i="19" s="1"/>
  <c r="AB119" i="24"/>
  <c r="AD8" i="19" s="1"/>
  <c r="D119" i="24"/>
  <c r="F8" i="19" s="1"/>
  <c r="C117" i="24"/>
  <c r="C118" i="24" s="1"/>
  <c r="D7" i="19"/>
  <c r="B124" i="24"/>
  <c r="B132" i="24"/>
  <c r="D18" i="19" s="1"/>
  <c r="B128" i="24"/>
  <c r="E153" i="24"/>
  <c r="D14" i="14"/>
  <c r="G11" i="12"/>
  <c r="H11" i="12"/>
  <c r="I11" i="12"/>
  <c r="F11" i="12"/>
  <c r="N10" i="12"/>
  <c r="M10" i="12"/>
  <c r="L10" i="12"/>
  <c r="E74" i="24" l="1"/>
  <c r="F117" i="24" s="1"/>
  <c r="F118" i="24" s="1"/>
  <c r="C119" i="24"/>
  <c r="E8" i="19" s="1"/>
  <c r="B117" i="24"/>
  <c r="B118" i="24" s="1"/>
  <c r="E119" i="24"/>
  <c r="G8" i="19" s="1"/>
  <c r="F74" i="24"/>
  <c r="G117" i="24" s="1"/>
  <c r="G118" i="24" s="1"/>
  <c r="G73" i="24"/>
  <c r="G74" i="24" s="1"/>
  <c r="H117" i="24" s="1"/>
  <c r="H118" i="24" s="1"/>
  <c r="M11" i="12"/>
  <c r="L11" i="12"/>
  <c r="F153" i="24" l="1"/>
  <c r="B119" i="24"/>
  <c r="D8" i="19" s="1"/>
  <c r="F119" i="24"/>
  <c r="H8" i="19" s="1"/>
  <c r="H153" i="24"/>
  <c r="G153" i="24"/>
  <c r="B16" i="16"/>
  <c r="B17" i="16"/>
  <c r="G119" i="24" l="1"/>
  <c r="I8" i="19" s="1"/>
  <c r="H119"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alcChain>
</file>

<file path=xl/sharedStrings.xml><?xml version="1.0" encoding="utf-8"?>
<sst xmlns="http://schemas.openxmlformats.org/spreadsheetml/2006/main" count="3440" uniqueCount="1066">
  <si>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</si>
  <si>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</si>
  <si>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</si>
  <si>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</si>
  <si>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</si>
  <si>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</si>
  <si>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</si>
  <si>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</si>
  <si>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</si>
  <si>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</si>
  <si>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</si>
  <si>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</si>
  <si>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</si>
  <si>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</si>
  <si>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</si>
  <si>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</si>
  <si>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</si>
  <si>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</si>
  <si>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</si>
  <si>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</si>
  <si>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</si>
  <si>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</si>
  <si>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</si>
  <si>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</si>
  <si>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</si>
  <si>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</si>
  <si>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</si>
  <si>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</si>
  <si>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</si>
  <si>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</si>
  <si>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</si>
  <si>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</si>
  <si>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</si>
  <si>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</si>
  <si>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</si>
  <si>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</si>
  <si>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</si>
  <si>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</si>
  <si>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</si>
  <si>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</si>
  <si>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</si>
  <si>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</si>
  <si>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</si>
  <si>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</si>
  <si>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</si>
  <si>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</si>
  <si>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</si>
  <si>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</si>
  <si>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</si>
  <si>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</si>
  <si>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</si>
  <si>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</si>
  <si>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</si>
  <si>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</si>
  <si>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</si>
  <si>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</si>
  <si>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</si>
  <si>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</si>
  <si>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</si>
  <si>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</si>
  <si>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</si>
  <si>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</si>
  <si>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</si>
  <si>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</si>
  <si>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</si>
  <si>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</si>
  <si>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</si>
  <si>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</si>
  <si>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</si>
  <si>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</si>
  <si>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</si>
  <si>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</si>
  <si>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</si>
  <si>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</si>
  <si>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</si>
  <si>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</si>
  <si>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</si>
  <si>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</si>
  <si>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</si>
  <si>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</si>
  <si>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</si>
  <si>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</si>
  <si>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</si>
  <si>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</si>
  <si>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</si>
  <si>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</si>
  <si>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</si>
  <si>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</si>
  <si>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</si>
  <si>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</si>
  <si>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</si>
  <si>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</si>
  <si>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</si>
  <si>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</si>
  <si>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</si>
  <si>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</si>
  <si>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</si>
  <si>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</si>
  <si>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</si>
  <si>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</si>
  <si>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</si>
  <si>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</si>
  <si>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</si>
  <si>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</si>
  <si>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</si>
  <si>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</si>
  <si>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</si>
  <si>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</si>
  <si>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</si>
  <si>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</si>
  <si>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</si>
  <si>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</si>
  <si>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</si>
  <si>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</si>
  <si>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</si>
  <si>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</si>
  <si>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</si>
  <si>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</si>
  <si>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</si>
  <si>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</si>
  <si>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</si>
  <si>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</si>
  <si>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</si>
  <si>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</si>
  <si>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</si>
  <si>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</si>
  <si>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</si>
  <si>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</si>
  <si>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</si>
  <si>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</si>
  <si>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</si>
  <si>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</si>
  <si>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</si>
  <si>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</si>
  <si>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</si>
  <si>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</si>
  <si>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</si>
  <si>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</si>
  <si>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</si>
  <si>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</si>
  <si>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</si>
  <si>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</si>
  <si>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</si>
  <si>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</si>
  <si>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</si>
  <si>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</si>
  <si>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</si>
  <si>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</si>
  <si>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</si>
  <si>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</si>
  <si>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</si>
  <si>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</si>
  <si>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</si>
  <si>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</si>
  <si>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</si>
  <si>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</si>
  <si>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</si>
  <si>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</si>
  <si>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</si>
  <si>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</si>
  <si>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</si>
  <si>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</si>
  <si>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</si>
  <si>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</si>
  <si>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</si>
  <si>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</si>
  <si>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</si>
  <si>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</si>
  <si>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</si>
  <si>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</si>
  <si>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</si>
  <si>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</si>
  <si>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</si>
  <si>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</si>
  <si>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</si>
  <si>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</si>
  <si>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</si>
  <si>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</si>
  <si>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</si>
  <si>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</si>
  <si>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</si>
  <si>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</si>
  <si>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</si>
  <si>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</si>
  <si>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</si>
  <si>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</si>
  <si>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</si>
  <si>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</si>
  <si>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</si>
  <si>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</si>
  <si>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</si>
  <si>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</si>
  <si>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</si>
  <si>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</si>
  <si>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</si>
  <si>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</si>
  <si>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</si>
  <si>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</si>
  <si>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</si>
  <si>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</si>
  <si>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</si>
  <si>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</si>
  <si>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</si>
  <si>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</si>
  <si>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</si>
  <si>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</si>
  <si>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</si>
  <si>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</si>
  <si>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</si>
  <si>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</si>
  <si>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</si>
  <si>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</si>
  <si>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</si>
  <si>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</si>
  <si>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</si>
  <si>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</si>
  <si>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</si>
  <si>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</si>
  <si>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</si>
  <si>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</si>
  <si>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</si>
  <si>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</si>
  <si>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</si>
  <si>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</si>
  <si>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</si>
  <si>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</si>
  <si>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</si>
  <si>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</si>
  <si>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</si>
  <si>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</si>
  <si>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</si>
  <si>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</si>
  <si>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</si>
  <si>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</si>
  <si>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</si>
  <si>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</si>
  <si>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</si>
  <si>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</si>
  <si>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</si>
  <si>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</si>
  <si>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</si>
  <si>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</si>
  <si>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</si>
  <si>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</si>
  <si>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</si>
  <si>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</si>
  <si>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</si>
  <si>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</si>
  <si>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</si>
  <si>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</si>
  <si>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</si>
  <si>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</si>
  <si>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</si>
  <si>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</si>
  <si>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</si>
  <si>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</si>
  <si>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</si>
  <si>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</si>
  <si>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</si>
  <si>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</si>
  <si>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</si>
  <si>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</si>
  <si>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</si>
  <si>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</si>
  <si>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</si>
  <si>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</si>
  <si>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</si>
  <si>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</si>
  <si>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</si>
  <si>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</si>
  <si>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</si>
  <si>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</si>
  <si>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</si>
  <si>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</si>
  <si>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</si>
  <si>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</si>
  <si>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</si>
  <si>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</si>
  <si>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</si>
  <si>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</si>
  <si>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</si>
  <si>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</si>
  <si>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</si>
  <si>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</si>
  <si>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</si>
  <si>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</si>
  <si>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</si>
  <si>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</si>
  <si>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</si>
  <si>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</si>
  <si>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</si>
  <si>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</si>
  <si>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</si>
  <si>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</si>
  <si>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</si>
  <si>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</si>
  <si>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</si>
  <si>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</si>
  <si>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</si>
  <si>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</si>
  <si>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</si>
  <si>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</si>
  <si>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</si>
  <si>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</si>
  <si>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</si>
  <si>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</si>
  <si>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</si>
  <si>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</si>
  <si>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</si>
  <si>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</si>
  <si>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</si>
  <si>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</si>
  <si>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</si>
  <si>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</si>
  <si>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</si>
  <si>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</si>
  <si>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</si>
  <si>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</si>
  <si>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</si>
  <si>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</si>
  <si>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</si>
  <si>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</si>
  <si>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</si>
  <si>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</si>
  <si>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</si>
  <si>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</si>
  <si>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</si>
  <si>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</si>
  <si>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</si>
  <si>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</si>
  <si>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</si>
  <si>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</si>
  <si>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</si>
  <si>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</si>
  <si>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</si>
  <si>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</si>
  <si>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</si>
  <si>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</si>
  <si>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</si>
  <si>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</si>
  <si>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</si>
  <si>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</si>
  <si>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</si>
  <si>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</si>
  <si>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</si>
  <si>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</si>
  <si>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</si>
  <si>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</si>
  <si>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</si>
  <si>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</si>
  <si>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</si>
  <si>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</si>
  <si>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</si>
  <si>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</si>
  <si>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</si>
  <si>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</si>
  <si>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</si>
  <si>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</si>
  <si>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</si>
  <si>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</si>
  <si>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</si>
  <si>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</si>
  <si>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</si>
  <si>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</si>
  <si>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</si>
  <si>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</si>
  <si>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</si>
  <si>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</si>
  <si>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</si>
  <si>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</si>
  <si>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</si>
  <si>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</si>
  <si>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</si>
  <si>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</si>
  <si>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</si>
  <si>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</si>
  <si>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</si>
  <si>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</si>
  <si>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</si>
  <si>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</si>
  <si>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</si>
  <si>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</si>
  <si>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</si>
  <si>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</si>
  <si>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</si>
  <si>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</si>
  <si>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</si>
  <si>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</si>
  <si>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</si>
  <si>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</si>
  <si>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</si>
  <si>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</si>
  <si>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</si>
  <si>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</si>
  <si>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</si>
  <si>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</si>
  <si>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</si>
  <si>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</si>
  <si>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</si>
  <si>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</si>
  <si>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</si>
  <si>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</si>
  <si>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</si>
  <si>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</si>
  <si>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</si>
  <si>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</si>
  <si>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</si>
  <si>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</si>
  <si>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</si>
  <si>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</si>
  <si>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</si>
  <si>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</si>
  <si>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</si>
  <si>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</si>
  <si>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</si>
  <si>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</si>
  <si>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</si>
  <si>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</si>
  <si>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</si>
  <si>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</si>
  <si>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</si>
  <si>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</si>
  <si>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</si>
  <si>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</si>
  <si>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</si>
  <si>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</si>
  <si>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</si>
  <si>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</si>
  <si>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</si>
  <si>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</si>
  <si>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</si>
  <si>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</si>
  <si>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</si>
  <si>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</si>
  <si>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</si>
  <si>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</si>
  <si>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</si>
  <si>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</si>
  <si>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</si>
  <si>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</si>
  <si>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</si>
  <si>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</si>
  <si>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</si>
  <si>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</si>
  <si>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</si>
  <si>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</si>
  <si>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</si>
  <si>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</si>
  <si>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</si>
  <si>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</si>
  <si>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</si>
  <si>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</si>
  <si>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</si>
  <si>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</si>
  <si>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</si>
  <si>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</si>
  <si>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</si>
  <si>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</si>
  <si>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</si>
  <si>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</si>
  <si>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</si>
  <si>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</si>
  <si>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</si>
  <si>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</si>
  <si>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</si>
  <si>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</si>
  <si>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</si>
  <si>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</si>
  <si>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</si>
  <si>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</si>
  <si>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</si>
  <si>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</si>
  <si>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</si>
  <si>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</si>
  <si>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</si>
  <si>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</si>
  <si>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</si>
  <si>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</si>
  <si>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</si>
  <si>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</si>
  <si>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</si>
  <si>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</si>
  <si>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</si>
  <si>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</si>
  <si>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</si>
  <si>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</si>
  <si>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</si>
  <si>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</si>
  <si>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</si>
  <si>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</si>
  <si>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</si>
  <si>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</si>
  <si>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</si>
  <si>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</si>
  <si>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</si>
  <si>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</si>
  <si>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</si>
  <si>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</si>
  <si>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</si>
  <si>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</si>
  <si>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</si>
  <si>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</si>
  <si>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</si>
  <si>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</si>
  <si>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</si>
  <si>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</si>
  <si>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</si>
  <si>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</si>
  <si>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</si>
  <si>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</si>
  <si>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</si>
  <si>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</si>
  <si>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</si>
  <si>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</si>
  <si>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</si>
  <si>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</si>
  <si>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</si>
  <si>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</si>
  <si>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</si>
  <si>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</si>
  <si>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</si>
  <si>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</si>
  <si>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</si>
  <si>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</si>
  <si>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</si>
  <si>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</si>
  <si>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</si>
  <si>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</si>
  <si>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</si>
  <si>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</si>
  <si>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</si>
  <si>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</si>
  <si>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</si>
  <si>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</si>
  <si>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</si>
  <si>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</si>
  <si>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</si>
  <si>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</si>
  <si>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</si>
  <si>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</si>
  <si>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</si>
  <si>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</si>
  <si>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</si>
  <si>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</si>
  <si>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</si>
  <si>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</si>
  <si>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</si>
  <si>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</si>
  <si>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</si>
  <si>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</si>
  <si>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</si>
  <si>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</si>
  <si>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</si>
  <si>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</si>
  <si>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</si>
  <si>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</si>
  <si>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</si>
  <si>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</si>
  <si>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</si>
  <si>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</si>
  <si>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</si>
  <si>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</si>
  <si>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</si>
  <si>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</si>
  <si>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</si>
  <si>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</si>
  <si>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</si>
  <si>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</si>
  <si>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</si>
  <si>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</si>
  <si>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</si>
  <si>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</si>
  <si>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</si>
  <si>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</si>
  <si>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</si>
  <si>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</si>
  <si>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</si>
  <si>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</si>
  <si>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</si>
  <si>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</si>
  <si>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</si>
  <si>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</si>
  <si>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</si>
  <si>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</si>
  <si>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</si>
  <si>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</si>
  <si>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</si>
  <si>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</si>
  <si>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</si>
  <si>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</si>
  <si>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</si>
  <si>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</si>
  <si>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</si>
  <si>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</si>
  <si>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</si>
  <si>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</si>
  <si>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</si>
  <si>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</si>
  <si>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</si>
  <si>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</si>
  <si>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</si>
  <si>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</si>
  <si>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</si>
  <si>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</si>
  <si>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</si>
  <si>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</si>
  <si>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</si>
  <si>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</si>
  <si>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</si>
  <si>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</si>
  <si>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</si>
  <si>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</si>
  <si>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</si>
  <si>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</si>
  <si>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</si>
  <si>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</si>
  <si>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</si>
  <si>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</si>
  <si>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</si>
  <si>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</si>
  <si>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</si>
  <si>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</si>
  <si>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</si>
  <si>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</si>
  <si>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</si>
  <si>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</si>
  <si>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</si>
  <si>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</si>
  <si>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</si>
  <si>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</si>
  <si>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</si>
  <si>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</si>
  <si>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</si>
  <si>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</si>
  <si>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</si>
  <si>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</si>
  <si>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</si>
  <si>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</si>
  <si>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</si>
  <si>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</si>
  <si>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</si>
  <si>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</si>
  <si>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</si>
  <si>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</si>
  <si>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</si>
  <si>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</si>
  <si>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</si>
  <si>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</si>
  <si>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</si>
  <si>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</si>
  <si>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</si>
  <si>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</si>
  <si>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</si>
  <si>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</si>
  <si>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</si>
  <si>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</si>
  <si>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</si>
  <si>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</si>
  <si>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</si>
  <si>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</si>
  <si>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</si>
  <si>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</si>
  <si>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</si>
  <si>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</si>
  <si>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</si>
  <si>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</si>
  <si>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</si>
  <si>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</si>
  <si>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</si>
  <si>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</si>
  <si>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</si>
  <si>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</si>
  <si>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</si>
  <si>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</si>
  <si>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</si>
  <si>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</si>
  <si>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</si>
  <si>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</si>
  <si>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</si>
  <si>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</si>
  <si>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</si>
  <si>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</si>
  <si>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</si>
  <si>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</si>
  <si>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</si>
  <si>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</si>
  <si>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</si>
  <si>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</si>
  <si>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</si>
  <si>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</si>
  <si>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</si>
  <si>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</si>
  <si>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</si>
  <si>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</si>
  <si>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</si>
  <si>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</si>
  <si>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</si>
  <si>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</si>
  <si>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</si>
  <si>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</si>
  <si>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</si>
  <si>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</si>
  <si>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</si>
  <si>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</si>
  <si>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</si>
  <si>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</si>
  <si>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</si>
  <si>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</si>
  <si>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</si>
  <si>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</si>
  <si>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</si>
  <si>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</si>
  <si>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</si>
  <si>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</si>
  <si>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</si>
  <si>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</si>
  <si>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</si>
  <si>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</si>
  <si>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</si>
  <si>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</si>
  <si>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</si>
  <si>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</si>
  <si>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</si>
  <si>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</si>
  <si>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</si>
  <si>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</si>
  <si>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</si>
  <si>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</si>
  <si>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</si>
  <si>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</si>
  <si>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</si>
  <si>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</si>
  <si>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</si>
  <si>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</si>
  <si>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</si>
  <si>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</si>
  <si>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</si>
  <si>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</si>
  <si>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</si>
  <si>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</si>
  <si>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</si>
  <si>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</si>
  <si>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</si>
  <si>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</si>
  <si>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</si>
  <si>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</si>
  <si>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</si>
  <si>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</si>
  <si>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</si>
  <si>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</si>
  <si>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</si>
  <si>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</si>
  <si>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</si>
  <si>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</si>
  <si>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</si>
  <si>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</si>
  <si>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</si>
  <si>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</si>
  <si>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</si>
  <si>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</si>
  <si>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</si>
  <si>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</si>
  <si>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</si>
  <si>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</si>
  <si>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</si>
  <si>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</si>
  <si>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</si>
  <si>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</si>
  <si>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</si>
  <si>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</si>
  <si>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</si>
  <si>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</si>
  <si>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</si>
  <si>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</si>
  <si>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</si>
  <si>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</si>
  <si>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</si>
  <si>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</si>
  <si>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</si>
  <si>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</si>
  <si>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</si>
  <si>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</si>
  <si>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</si>
  <si>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</si>
  <si>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</si>
  <si>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</si>
  <si>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</si>
  <si>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</si>
  <si>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</si>
  <si>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</si>
  <si>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</si>
  <si>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</si>
  <si>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</si>
  <si>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</si>
  <si>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</si>
  <si>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</si>
  <si>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</si>
  <si>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</si>
  <si>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</si>
  <si>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</si>
  <si>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</si>
  <si>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</si>
  <si>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</si>
  <si>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</si>
  <si>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</si>
  <si>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</si>
  <si>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</si>
  <si>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</si>
  <si>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</si>
  <si>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</si>
  <si>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</si>
  <si>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</si>
  <si>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</si>
  <si>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</si>
  <si>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</si>
  <si>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</si>
  <si>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</si>
  <si>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</si>
  <si>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</si>
  <si>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</si>
  <si>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</si>
  <si>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</si>
  <si>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</si>
  <si>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</si>
  <si>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</si>
  <si>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</si>
  <si>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</si>
  <si>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</si>
  <si>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</si>
  <si>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</si>
  <si>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</si>
  <si>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</si>
  <si>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</si>
  <si>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</si>
  <si>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</si>
  <si>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 per kg (2022 $)</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</si>
  <si>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</si>
  <si>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</si>
  <si>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</si>
  <si>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</si>
  <si>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</si>
  <si>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</si>
  <si>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</si>
  <si>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</si>
  <si>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</si>
  <si>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</si>
  <si>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</si>
  <si>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</si>
  <si>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</si>
  <si>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</si>
  <si>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</si>
  <si>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</si>
  <si>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</si>
  <si>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</si>
  <si>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</si>
  <si>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</si>
  <si>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</si>
  <si>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</si>
  <si>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</si>
  <si>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</si>
  <si>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</si>
  <si>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</si>
  <si>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</si>
  <si>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</si>
  <si>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</si>
  <si>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</si>
  <si>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</si>
  <si>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</si>
  <si>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</si>
  <si>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</si>
  <si>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</si>
  <si>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</si>
  <si>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</si>
  <si>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</si>
  <si>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</si>
  <si>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</si>
  <si>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</si>
  <si>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</si>
  <si>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</si>
  <si>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</si>
  <si>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</si>
  <si>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</si>
  <si>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</si>
  <si>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</si>
  <si>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</si>
  <si>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</si>
  <si>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</si>
  <si>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</si>
  <si>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</si>
  <si>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</si>
  <si>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</si>
  <si>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</si>
  <si>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</si>
  <si>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</si>
  <si>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</si>
  <si>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</si>
  <si>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</si>
  <si>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</si>
  <si>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</si>
  <si>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</si>
  <si>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</si>
  <si>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</si>
  <si>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</si>
  <si>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</si>
  <si>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</si>
  <si>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</si>
  <si>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</si>
  <si>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</si>
  <si>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</si>
  <si>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</si>
  <si>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</si>
  <si>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</si>
  <si>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</si>
  <si>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</si>
  <si>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</si>
  <si>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</si>
  <si>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</si>
  <si>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</si>
  <si>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</si>
  <si>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</si>
  <si>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</si>
  <si>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</si>
  <si>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</si>
  <si>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</si>
  <si>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</si>
  <si>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</si>
  <si>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</si>
  <si>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</si>
  <si>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</si>
  <si>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</si>
  <si>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</si>
  <si>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</si>
  <si>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</si>
  <si>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</si>
  <si>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</si>
  <si>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</si>
  <si>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</si>
  <si>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</si>
  <si>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</si>
  <si>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</si>
  <si>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</si>
  <si>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</si>
  <si>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</si>
  <si>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</si>
  <si>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</si>
  <si>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</si>
  <si>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</si>
  <si>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</si>
  <si>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</si>
  <si>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</si>
  <si>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</si>
  <si>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</si>
  <si>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</si>
  <si>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</si>
  <si>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</si>
  <si>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</si>
  <si>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</si>
  <si>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</si>
  <si>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</si>
  <si>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</si>
  <si>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</si>
  <si>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</si>
  <si>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</si>
  <si>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</si>
  <si>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</si>
  <si>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</si>
  <si>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</si>
  <si>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</si>
  <si>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</si>
  <si>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</si>
  <si>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</si>
  <si>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</si>
  <si>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</si>
  <si>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</si>
  <si>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</si>
  <si>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</si>
  <si>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</si>
  <si>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</si>
  <si>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</si>
  <si>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</si>
  <si>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</si>
  <si>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</si>
  <si>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</si>
  <si>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</si>
  <si>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</si>
  <si>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</si>
  <si>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</si>
  <si>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</si>
  <si>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</si>
  <si>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</si>
  <si>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</si>
  <si>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</si>
  <si>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</si>
  <si>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</si>
  <si>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</si>
  <si>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</si>
  <si>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</si>
  <si>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</si>
  <si>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</si>
  <si>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</si>
  <si>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</si>
  <si>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</si>
  <si>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</si>
  <si>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</si>
  <si>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</si>
  <si>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</si>
  <si>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</si>
  <si>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</si>
  <si>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</si>
  <si>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</si>
  <si>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</si>
  <si>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</si>
  <si>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</si>
  <si>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</si>
  <si>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</si>
  <si>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</si>
  <si>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</si>
  <si>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</si>
  <si>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</si>
  <si>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</si>
  <si>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</si>
  <si>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</si>
  <si>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</si>
  <si>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</si>
  <si>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</si>
  <si>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</si>
  <si>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</si>
  <si>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</si>
  <si>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</si>
  <si>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</si>
  <si>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</si>
  <si>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</si>
  <si>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</si>
  <si>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</si>
  <si>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</si>
  <si>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</si>
  <si>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</si>
  <si>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</si>
  <si>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</si>
  <si>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</si>
  <si>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</si>
  <si>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</si>
  <si>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</si>
  <si>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</si>
  <si>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</si>
  <si>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</si>
  <si>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</si>
  <si>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</si>
  <si>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</si>
  <si>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</si>
  <si>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</si>
  <si>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</si>
  <si>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</si>
  <si>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</si>
  <si>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</si>
  <si>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</si>
  <si>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</si>
  <si>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</si>
  <si>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</si>
  <si>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</si>
  <si>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</si>
  <si>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</si>
  <si>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</si>
  <si>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</si>
  <si>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</si>
  <si>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Massachusetts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</si>
</sst>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31" fillId="0" borderId="126" xfId="0" applyFont="1" applyBorder="1"/>
    <xf numFmtId="0" fontId="31" fillId="0" borderId="78" xfId="0" applyFont="1" applyBorder="1"/>
    <xf numFmtId="0" fontId="31" fillId="0" borderId="79" xfId="0" applyFont="1" applyBorder="1"/>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36"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2" fillId="0" borderId="77" xfId="1" applyFill="1" applyBorder="1" applyAlignment="1">
      <alignment horizontal="center" vertical="top"/>
    </xf>
    <xf numFmtId="0" fontId="2" fillId="0" borderId="78" xfId="1" applyFill="1" applyBorder="1" applyAlignment="1">
      <alignment horizontal="center" vertical="top"/>
    </xf>
    <xf numFmtId="0" fontId="31" fillId="0" borderId="135" xfId="0" applyFont="1" applyBorder="1" applyAlignment="1">
      <alignment horizontal="left" vertical="center"/>
    </xf>
    <xf numFmtId="0" fontId="40" fillId="17" borderId="24" xfId="0" applyFont="1" applyFill="1" applyBorder="1" applyAlignment="1">
      <alignment horizontal="center"/>
    </xf>
    <xf numFmtId="0" fontId="40" fillId="17" borderId="0" xfId="0" applyFont="1" applyFill="1" applyAlignment="1">
      <alignment horizontal="center"/>
    </xf>
    <xf numFmtId="0" fontId="2" fillId="0" borderId="77" xfId="1" applyFill="1" applyBorder="1" applyAlignment="1">
      <alignment horizontal="center"/>
    </xf>
    <xf numFmtId="0" fontId="2" fillId="0" borderId="78" xfId="1" applyFill="1" applyBorder="1" applyAlignment="1">
      <alignment horizontal="center"/>
    </xf>
    <xf numFmtId="0" fontId="34" fillId="27" borderId="0" xfId="0" applyFont="1" applyFill="1" applyAlignment="1">
      <alignment horizontal="center" vertical="center" textRotation="90"/>
    </xf>
    <xf numFmtId="0" fontId="40" fillId="14" borderId="67" xfId="0" applyFont="1" applyFill="1" applyBorder="1" applyAlignment="1">
      <alignment horizontal="center" vertical="center" wrapText="1"/>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0" xfId="0" applyFont="1" applyFill="1" applyAlignment="1">
      <alignment horizontal="center" vertical="center" wrapText="1"/>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9" fillId="22" borderId="0" xfId="0" applyFont="1" applyFill="1" applyAlignment="1">
      <alignment horizontal="center" vertical="center" textRotation="90"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31" fillId="0" borderId="77" xfId="0" applyFont="1" applyBorder="1"/>
    <xf numFmtId="0" fontId="31" fillId="0" borderId="77" xfId="0" applyFont="1" applyBorder="1" applyAlignment="1">
      <alignment horizontal="center"/>
    </xf>
    <xf numFmtId="0" fontId="31" fillId="0" borderId="78" xfId="0" applyFont="1" applyBorder="1" applyAlignment="1">
      <alignment horizontal="center"/>
    </xf>
    <xf numFmtId="0" fontId="2" fillId="0" borderId="77" xfId="1" applyBorder="1" applyAlignment="1">
      <alignment horizontal="center"/>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18" xfId="0" applyFont="1" applyBorder="1" applyAlignment="1">
      <alignment horizontal="left" vertic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16</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opLeftCell="A31" workbookViewId="0">
      <selection activeCell="J60" sqref="J60"/>
    </sheetView>
  </sheetViews>
  <sheetFormatPr defaultColWidth="9.140625" defaultRowHeight="15" x14ac:dyDescent="0.25"/>
  <cols>
    <col min="2" max="2" width="83.28515625" customWidth="1"/>
  </cols>
  <sheetData>
    <row r="1" spans="1:3" x14ac:dyDescent="0.25">
      <c r="A1" s="1" t="s">
        <v>184</v>
      </c>
      <c r="B1" t="s">
        <v>1065</v>
      </c>
      <c r="C1" s="349">
        <v>45267</v>
      </c>
    </row>
    <row r="2" spans="1:3" x14ac:dyDescent="0.25">
      <c r="A2" s="1" t="s">
        <v>183</v>
      </c>
    </row>
    <row r="3" spans="1:3" x14ac:dyDescent="0.25">
      <c r="A3" s="1" t="s">
        <v>310</v>
      </c>
    </row>
    <row r="5" spans="1:3" x14ac:dyDescent="0.25">
      <c r="A5" s="1" t="s">
        <v>0</v>
      </c>
      <c r="B5" s="27" t="s">
        <v>115</v>
      </c>
    </row>
    <row r="6" spans="1:3" x14ac:dyDescent="0.25">
      <c r="B6" t="s">
        <v>1</v>
      </c>
    </row>
    <row r="7" spans="1:3" x14ac:dyDescent="0.25">
      <c r="B7" s="2">
        <v>2014</v>
      </c>
    </row>
    <row r="8" spans="1:3" x14ac:dyDescent="0.25">
      <c r="B8" t="s">
        <v>2</v>
      </c>
    </row>
    <row r="9" spans="1:3" x14ac:dyDescent="0.25">
      <c r="B9" s="28" t="s">
        <v>3</v>
      </c>
    </row>
    <row r="10" spans="1:3" x14ac:dyDescent="0.25">
      <c r="B10" t="s">
        <v>4</v>
      </c>
    </row>
    <row r="12" spans="1:3" x14ac:dyDescent="0.25">
      <c r="B12" s="27" t="s">
        <v>256</v>
      </c>
    </row>
    <row r="13" spans="1:3" x14ac:dyDescent="0.25">
      <c r="B13" t="s">
        <v>288</v>
      </c>
    </row>
    <row r="14" spans="1:3" x14ac:dyDescent="0.25">
      <c r="B14" s="2">
        <v>2015</v>
      </c>
    </row>
    <row r="15" spans="1:3" x14ac:dyDescent="0.25">
      <c r="B15" t="s">
        <v>289</v>
      </c>
    </row>
    <row r="16" spans="1:3" x14ac:dyDescent="0.25">
      <c r="B16" s="28" t="s">
        <v>230</v>
      </c>
    </row>
    <row r="18" spans="2:2" x14ac:dyDescent="0.25">
      <c r="B18" s="27" t="s">
        <v>290</v>
      </c>
    </row>
    <row r="19" spans="2:2" x14ac:dyDescent="0.25">
      <c r="B19" t="s">
        <v>521</v>
      </c>
    </row>
    <row r="20" spans="2:2" x14ac:dyDescent="0.25">
      <c r="B20" s="2">
        <v>2020</v>
      </c>
    </row>
    <row r="21" spans="2:2" x14ac:dyDescent="0.25">
      <c r="B21" t="s">
        <v>520</v>
      </c>
    </row>
    <row r="22" spans="2:2" x14ac:dyDescent="0.25">
      <c r="B22" s="28" t="s">
        <v>519</v>
      </c>
    </row>
    <row r="24" spans="2:2" x14ac:dyDescent="0.25">
      <c r="B24" s="27" t="s">
        <v>291</v>
      </c>
    </row>
    <row r="25" spans="2:2" x14ac:dyDescent="0.25">
      <c r="B25" t="s">
        <v>292</v>
      </c>
    </row>
    <row r="26" spans="2:2" x14ac:dyDescent="0.25">
      <c r="B26" s="2">
        <v>2015</v>
      </c>
    </row>
    <row r="27" spans="2:2" x14ac:dyDescent="0.25">
      <c r="B27" t="s">
        <v>293</v>
      </c>
    </row>
    <row r="28" spans="2:2" x14ac:dyDescent="0.25">
      <c r="B28" s="28" t="s">
        <v>224</v>
      </c>
    </row>
    <row r="30" spans="2:2" x14ac:dyDescent="0.25">
      <c r="B30" s="27" t="s">
        <v>297</v>
      </c>
    </row>
    <row r="31" spans="2:2" x14ac:dyDescent="0.25">
      <c r="B31" t="s">
        <v>294</v>
      </c>
    </row>
    <row r="32" spans="2:2" x14ac:dyDescent="0.25">
      <c r="B32" s="2">
        <v>2015</v>
      </c>
    </row>
    <row r="33" spans="2:2" x14ac:dyDescent="0.25">
      <c r="B33" t="s">
        <v>295</v>
      </c>
    </row>
    <row r="34" spans="2:2" x14ac:dyDescent="0.25">
      <c r="B34" s="28" t="s">
        <v>235</v>
      </c>
    </row>
    <row r="35" spans="2:2" x14ac:dyDescent="0.25">
      <c r="B35" t="s">
        <v>296</v>
      </c>
    </row>
    <row r="37" spans="2:2" x14ac:dyDescent="0.25">
      <c r="B37" s="27" t="s">
        <v>167</v>
      </c>
    </row>
    <row r="38" spans="2:2" x14ac:dyDescent="0.25">
      <c r="B38" t="s">
        <v>168</v>
      </c>
    </row>
    <row r="39" spans="2:2" x14ac:dyDescent="0.25">
      <c r="B39" s="2" t="s">
        <v>637</v>
      </c>
    </row>
    <row r="40" spans="2:2" x14ac:dyDescent="0.25">
      <c r="B40" t="s">
        <v>638</v>
      </c>
    </row>
    <row r="41" spans="2:2" x14ac:dyDescent="0.25">
      <c r="B41" s="28" t="s">
        <v>588</v>
      </c>
    </row>
    <row r="42" spans="2:2" x14ac:dyDescent="0.25">
      <c r="B42" t="s">
        <v>636</v>
      </c>
    </row>
    <row r="44" spans="2:2" x14ac:dyDescent="0.25">
      <c r="B44" s="27" t="s">
        <v>526</v>
      </c>
    </row>
    <row r="45" spans="2:2" x14ac:dyDescent="0.25">
      <c r="B45" t="s">
        <v>522</v>
      </c>
    </row>
    <row r="46" spans="2:2" x14ac:dyDescent="0.25">
      <c r="B46" s="2">
        <v>2020</v>
      </c>
    </row>
    <row r="47" spans="2:2" x14ac:dyDescent="0.25">
      <c r="B47" t="s">
        <v>523</v>
      </c>
    </row>
    <row r="48" spans="2:2" x14ac:dyDescent="0.25">
      <c r="B48" s="28" t="s">
        <v>517</v>
      </c>
    </row>
    <row r="50" spans="1:2" x14ac:dyDescent="0.25">
      <c r="B50" s="27" t="s">
        <v>533</v>
      </c>
    </row>
    <row r="51" spans="1:2" x14ac:dyDescent="0.25">
      <c r="B51" t="s">
        <v>527</v>
      </c>
    </row>
    <row r="52" spans="1:2" x14ac:dyDescent="0.25">
      <c r="B52" s="2">
        <v>2020</v>
      </c>
    </row>
    <row r="53" spans="1:2" x14ac:dyDescent="0.25">
      <c r="B53" t="s">
        <v>528</v>
      </c>
    </row>
    <row r="54" spans="1:2" x14ac:dyDescent="0.25">
      <c r="B54" t="s">
        <v>529</v>
      </c>
    </row>
    <row r="55" spans="1:2" x14ac:dyDescent="0.25">
      <c r="B55" t="s">
        <v>534</v>
      </c>
    </row>
    <row r="57" spans="1:2" x14ac:dyDescent="0.25">
      <c r="B57" s="27" t="s">
        <v>1059</v>
      </c>
    </row>
    <row r="58" spans="1:2" x14ac:dyDescent="0.25">
      <c r="B58" t="s">
        <v>1060</v>
      </c>
    </row>
    <row r="59" spans="1:2" x14ac:dyDescent="0.25">
      <c r="B59" s="2">
        <v>2023</v>
      </c>
    </row>
    <row r="60" spans="1:2" x14ac:dyDescent="0.25">
      <c r="B60" t="s">
        <v>1062</v>
      </c>
    </row>
    <row r="61" spans="1:2" x14ac:dyDescent="0.25">
      <c r="B61" s="138" t="s">
        <v>1061</v>
      </c>
    </row>
    <row r="64" spans="1:2" x14ac:dyDescent="0.25">
      <c r="A64" s="1" t="s">
        <v>169</v>
      </c>
    </row>
    <row r="65" spans="1:1" x14ac:dyDescent="0.25">
      <c r="A65" t="s">
        <v>671</v>
      </c>
    </row>
    <row r="66" spans="1:1" x14ac:dyDescent="0.25">
      <c r="A66" t="s">
        <v>672</v>
      </c>
    </row>
    <row r="67" spans="1:1" x14ac:dyDescent="0.25">
      <c r="A67" s="1"/>
    </row>
    <row r="68" spans="1:1" x14ac:dyDescent="0.25">
      <c r="A68" t="s">
        <v>170</v>
      </c>
    </row>
    <row r="69" spans="1:1" x14ac:dyDescent="0.25">
      <c r="A69" t="s">
        <v>171</v>
      </c>
    </row>
    <row r="71" spans="1:1" x14ac:dyDescent="0.25">
      <c r="A71" t="s">
        <v>174</v>
      </c>
    </row>
    <row r="72" spans="1:1" x14ac:dyDescent="0.25">
      <c r="A72" t="s">
        <v>175</v>
      </c>
    </row>
    <row r="73" spans="1:1" x14ac:dyDescent="0.25">
      <c r="A73" t="s">
        <v>176</v>
      </c>
    </row>
    <row r="74" spans="1:1" x14ac:dyDescent="0.25">
      <c r="A74" t="s">
        <v>177</v>
      </c>
    </row>
    <row r="76" spans="1:1" x14ac:dyDescent="0.25">
      <c r="A76" t="s">
        <v>186</v>
      </c>
    </row>
    <row r="77" spans="1:1" x14ac:dyDescent="0.25">
      <c r="A77" t="s">
        <v>187</v>
      </c>
    </row>
    <row r="78" spans="1:1" x14ac:dyDescent="0.25">
      <c r="A78" t="s">
        <v>188</v>
      </c>
    </row>
    <row r="79" spans="1:1" x14ac:dyDescent="0.25">
      <c r="A79" t="s">
        <v>190</v>
      </c>
    </row>
    <row r="80" spans="1:1" x14ac:dyDescent="0.25">
      <c r="A80">
        <v>0.97099999999999997</v>
      </c>
    </row>
    <row r="81" spans="1:5" x14ac:dyDescent="0.25">
      <c r="A81" t="s">
        <v>189</v>
      </c>
    </row>
    <row r="83" spans="1:5" x14ac:dyDescent="0.25">
      <c r="A83" t="s">
        <v>524</v>
      </c>
    </row>
    <row r="84" spans="1:5" x14ac:dyDescent="0.25">
      <c r="A84">
        <v>0.89805481563188172</v>
      </c>
    </row>
    <row r="85" spans="1:5" x14ac:dyDescent="0.25">
      <c r="A85" t="s">
        <v>189</v>
      </c>
    </row>
    <row r="86" spans="1:5" x14ac:dyDescent="0.25">
      <c r="A86">
        <v>0.88711067149387013</v>
      </c>
      <c r="B86" t="s">
        <v>537</v>
      </c>
      <c r="E86" s="19"/>
    </row>
    <row r="87" spans="1:5" x14ac:dyDescent="0.25">
      <c r="A87">
        <v>0.78452102304761584</v>
      </c>
      <c r="B87" t="s">
        <v>840</v>
      </c>
      <c r="E87" s="19"/>
    </row>
    <row r="88" spans="1:5" x14ac:dyDescent="0.25">
      <c r="E88" s="19"/>
    </row>
    <row r="89" spans="1:5" x14ac:dyDescent="0.25">
      <c r="E89" s="19"/>
    </row>
    <row r="90" spans="1:5" x14ac:dyDescent="0.25">
      <c r="E90" s="19"/>
    </row>
    <row r="93" spans="1:5" x14ac:dyDescent="0.25">
      <c r="A93" s="1" t="s">
        <v>530</v>
      </c>
    </row>
    <row r="94" spans="1:5" x14ac:dyDescent="0.25">
      <c r="A94" t="s">
        <v>589</v>
      </c>
    </row>
    <row r="95" spans="1:5" x14ac:dyDescent="0.25">
      <c r="A95" t="s">
        <v>590</v>
      </c>
    </row>
    <row r="96" spans="1:5" x14ac:dyDescent="0.25">
      <c r="A96" t="s">
        <v>531</v>
      </c>
    </row>
    <row r="97" spans="1:1" x14ac:dyDescent="0.25">
      <c r="A97" t="s">
        <v>532</v>
      </c>
    </row>
    <row r="99" spans="1:1" x14ac:dyDescent="0.25">
      <c r="A99" s="1" t="s">
        <v>305</v>
      </c>
    </row>
    <row r="100" spans="1:1" x14ac:dyDescent="0.25">
      <c r="A100" t="s">
        <v>316</v>
      </c>
    </row>
    <row r="101" spans="1:1" x14ac:dyDescent="0.25">
      <c r="A101" t="s">
        <v>317</v>
      </c>
    </row>
    <row r="102" spans="1:1" x14ac:dyDescent="0.25">
      <c r="A102" t="s">
        <v>306</v>
      </c>
    </row>
    <row r="103" spans="1:1" x14ac:dyDescent="0.25">
      <c r="A103" t="s">
        <v>307</v>
      </c>
    </row>
    <row r="105" spans="1:1" x14ac:dyDescent="0.25">
      <c r="A105" s="1" t="s">
        <v>535</v>
      </c>
    </row>
    <row r="106" spans="1:1" x14ac:dyDescent="0.25">
      <c r="A106" t="s">
        <v>831</v>
      </c>
    </row>
    <row r="107" spans="1:1" x14ac:dyDescent="0.25">
      <c r="A107" t="s">
        <v>832</v>
      </c>
    </row>
    <row r="109" spans="1:1" x14ac:dyDescent="0.25">
      <c r="A109" t="s">
        <v>536</v>
      </c>
    </row>
    <row r="110" spans="1:1" x14ac:dyDescent="0.2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24"/>
  <sheetViews>
    <sheetView tabSelected="1" topLeftCell="C105" workbookViewId="0">
      <selection activeCell="U140" sqref="U140:AD140"/>
    </sheetView>
  </sheetViews>
  <sheetFormatPr defaultColWidth="12.5703125" defaultRowHeight="15.75" customHeight="1" x14ac:dyDescent="0.2"/>
  <cols>
    <col min="1" max="1" width="94.42578125" style="78" customWidth="1"/>
    <col min="2" max="2" width="15.42578125" style="78" customWidth="1"/>
    <col min="3" max="4" width="11.5703125" style="78" customWidth="1"/>
    <col min="5" max="5" width="10.140625" style="78" customWidth="1"/>
    <col min="6" max="6" width="7.5703125" style="78" customWidth="1"/>
    <col min="7" max="7" width="9.5703125" style="78" customWidth="1"/>
    <col min="8" max="8" width="10.140625" style="78" customWidth="1"/>
    <col min="9" max="36" width="7.5703125" style="78" customWidth="1"/>
    <col min="37" max="16384" width="12.5703125" style="78"/>
  </cols>
  <sheetData>
    <row r="1" spans="1:36" ht="12.75" x14ac:dyDescent="0.2">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2">
      <c r="A2" s="79" t="s">
        <v>1058</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2.75"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2.75" x14ac:dyDescent="0.2">
      <c r="A4" s="76" t="s">
        <v>841</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2.75" x14ac:dyDescent="0.2">
      <c r="A5" s="77" t="s">
        <v>1063</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2.75" x14ac:dyDescent="0.2">
      <c r="A6" s="77" t="s">
        <v>842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2.75" x14ac:dyDescent="0.2">
      <c r="A7" s="77" t="s">
        <v>843</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2.75" x14ac:dyDescent="0.2">
      <c r="A8" s="77">
        <f>1650*0.25</f>
        <v>412.5</v>
      </c>
      <c r="B8" s="77" t="s">
        <v>844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2.75" x14ac:dyDescent="0.2">
      <c r="A9" s="77"/>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2.75" x14ac:dyDescent="0.2">
      <c r="A10" s="77" t="s">
        <v>847</v>
      </c>
      <c r="B10" s="77" t="s">
        <v>848</v>
      </c>
      <c r="C10" s="77" t="s">
        <v>849</v>
      </c>
      <c r="D10" s="77" t="s">
        <v>850</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2.75" x14ac:dyDescent="0.2">
      <c r="A11" s="87">
        <v>1</v>
      </c>
      <c r="B11" s="87">
        <v>0.75</v>
      </c>
      <c r="C11" s="87">
        <v>0.5</v>
      </c>
      <c r="D11" s="87">
        <v>0</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2.75" x14ac:dyDescent="0.2">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2.75" x14ac:dyDescent="0.2">
      <c r="A13" s="76" t="s">
        <v>674</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row>
    <row r="14" spans="1:36" ht="12.75" x14ac:dyDescent="0.2">
      <c r="A14" s="81" t="s">
        <v>675</v>
      </c>
      <c r="B14" s="81"/>
      <c r="C14" s="81"/>
      <c r="D14" s="81"/>
      <c r="E14" s="81"/>
      <c r="F14" s="81"/>
      <c r="G14" s="81"/>
      <c r="H14" s="81"/>
      <c r="I14" s="81"/>
      <c r="J14" s="81"/>
      <c r="K14" s="81"/>
      <c r="L14" s="81"/>
      <c r="M14" s="81"/>
      <c r="N14" s="82"/>
      <c r="O14" s="82"/>
      <c r="P14" s="82"/>
      <c r="Q14" s="82"/>
      <c r="R14" s="82"/>
      <c r="S14" s="82"/>
      <c r="T14" s="82"/>
      <c r="U14" s="82"/>
      <c r="V14" s="82"/>
      <c r="W14" s="82"/>
      <c r="X14" s="82"/>
      <c r="Y14" s="82"/>
      <c r="Z14" s="82"/>
      <c r="AA14" s="82"/>
      <c r="AB14" s="82"/>
      <c r="AC14" s="82"/>
      <c r="AD14" s="82"/>
      <c r="AE14" s="82"/>
      <c r="AF14" s="82"/>
      <c r="AG14" s="82"/>
      <c r="AH14" s="82"/>
      <c r="AI14" s="82"/>
      <c r="AJ14" s="82"/>
    </row>
    <row r="15" spans="1:36" ht="12.75" x14ac:dyDescent="0.2">
      <c r="A15" s="83" t="s">
        <v>676</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2.75" x14ac:dyDescent="0.2">
      <c r="A16" s="84" t="s">
        <v>677</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row>
    <row r="17" spans="1:36" ht="12.75" x14ac:dyDescent="0.2">
      <c r="A17" s="85"/>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row>
    <row r="18" spans="1:36" ht="12.75" x14ac:dyDescent="0.2">
      <c r="A18" s="85"/>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2.75" x14ac:dyDescent="0.2">
      <c r="A19" s="85"/>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2.75" x14ac:dyDescent="0.2">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2.75" x14ac:dyDescent="0.2">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2.75" x14ac:dyDescent="0.2">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2.75" x14ac:dyDescent="0.2">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2.75" x14ac:dyDescent="0.2">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2.75" x14ac:dyDescent="0.2">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2.75" x14ac:dyDescent="0.2">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2.75" x14ac:dyDescent="0.2">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2.75" x14ac:dyDescent="0.2">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2.75" x14ac:dyDescent="0.2">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2.75" x14ac:dyDescent="0.2">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2.75" x14ac:dyDescent="0.2">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2.75" x14ac:dyDescent="0.2">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2.75" x14ac:dyDescent="0.2">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2.75" x14ac:dyDescent="0.2">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2.75" x14ac:dyDescent="0.2">
      <c r="A35" s="77" t="s">
        <v>678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2.75" x14ac:dyDescent="0.2">
      <c r="A36" s="77" t="s">
        <v>679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2.75" x14ac:dyDescent="0.2">
      <c r="A37" s="77" t="s">
        <v>680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2.75" x14ac:dyDescent="0.2">
      <c r="A38" s="77" t="s">
        <v>845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2.75" x14ac:dyDescent="0.2">
      <c r="A39" s="78" t="s">
        <v>681</v>
      </c>
      <c r="B39" s="86">
        <v>0.127</v>
      </c>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2.75" x14ac:dyDescent="0.2">
      <c r="A40" s="78" t="s">
        <v>682</v>
      </c>
      <c r="B40" s="87">
        <f>B39*1.2</f>
        <v>0.15240000000000001</v>
      </c>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2.75" x14ac:dyDescent="0.2">
      <c r="A41" s="85"/>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2.75" x14ac:dyDescent="0.2">
      <c r="A42" s="85"/>
      <c r="B42" s="85">
        <v>2022</v>
      </c>
      <c r="C42" s="85">
        <v>2023</v>
      </c>
      <c r="D42" s="85">
        <v>2024</v>
      </c>
      <c r="E42" s="85">
        <v>2025</v>
      </c>
      <c r="F42" s="85">
        <v>2026</v>
      </c>
      <c r="G42" s="85">
        <v>2027</v>
      </c>
      <c r="H42" s="85">
        <v>2028</v>
      </c>
      <c r="I42" s="85">
        <v>2029</v>
      </c>
      <c r="J42" s="85">
        <v>2030</v>
      </c>
      <c r="K42" s="85">
        <v>2031</v>
      </c>
      <c r="L42" s="85">
        <v>2032</v>
      </c>
      <c r="M42" s="85">
        <v>2033</v>
      </c>
      <c r="N42" s="85">
        <v>2034</v>
      </c>
      <c r="O42" s="85">
        <v>2035</v>
      </c>
      <c r="P42" s="85">
        <v>2036</v>
      </c>
      <c r="Q42" s="85">
        <v>2037</v>
      </c>
      <c r="R42" s="85">
        <v>2038</v>
      </c>
      <c r="S42" s="85">
        <v>2039</v>
      </c>
      <c r="T42" s="85">
        <v>2040</v>
      </c>
      <c r="U42" s="85">
        <v>2041</v>
      </c>
      <c r="V42" s="85">
        <v>2042</v>
      </c>
      <c r="W42" s="85">
        <v>2043</v>
      </c>
      <c r="X42" s="85">
        <v>2044</v>
      </c>
      <c r="Y42" s="85">
        <v>2045</v>
      </c>
      <c r="Z42" s="85">
        <v>2046</v>
      </c>
      <c r="AA42" s="85">
        <v>2047</v>
      </c>
      <c r="AB42" s="85">
        <v>2048</v>
      </c>
      <c r="AC42" s="85">
        <v>2049</v>
      </c>
      <c r="AD42" s="85">
        <v>2050</v>
      </c>
      <c r="AE42" s="77"/>
      <c r="AF42" s="77"/>
      <c r="AG42" s="77"/>
      <c r="AH42" s="77"/>
      <c r="AI42" s="77"/>
      <c r="AJ42" s="77"/>
    </row>
    <row r="43" spans="1:36" ht="12.75" x14ac:dyDescent="0.2">
      <c r="A43" s="88" t="s">
        <v>683</v>
      </c>
      <c r="B43" s="86">
        <v>0</v>
      </c>
      <c r="C43" s="86">
        <v>0.05</v>
      </c>
      <c r="D43" s="86">
        <v>0.1</v>
      </c>
      <c r="E43" s="86">
        <v>0.15</v>
      </c>
      <c r="F43" s="86">
        <v>0.15</v>
      </c>
      <c r="G43" s="86">
        <v>0.15</v>
      </c>
      <c r="H43" s="86">
        <v>0.15</v>
      </c>
      <c r="I43" s="86">
        <v>0.15</v>
      </c>
      <c r="J43" s="86">
        <v>0.15</v>
      </c>
      <c r="K43" s="86">
        <v>0.15</v>
      </c>
      <c r="L43" s="86">
        <v>0.15</v>
      </c>
      <c r="M43" s="86">
        <v>0.15</v>
      </c>
      <c r="N43" s="86">
        <v>0.15</v>
      </c>
      <c r="O43" s="86">
        <v>0.15</v>
      </c>
      <c r="P43" s="86">
        <v>0.15</v>
      </c>
      <c r="Q43" s="86">
        <v>0.15</v>
      </c>
      <c r="R43" s="86">
        <v>0.15</v>
      </c>
      <c r="S43" s="86">
        <v>0.15</v>
      </c>
      <c r="T43" s="86">
        <v>0.15</v>
      </c>
      <c r="U43" s="86">
        <v>0.15</v>
      </c>
      <c r="V43" s="86">
        <v>0.15</v>
      </c>
      <c r="W43" s="86">
        <v>0.15</v>
      </c>
      <c r="X43" s="86">
        <v>0.15</v>
      </c>
      <c r="Y43" s="86">
        <v>0.15</v>
      </c>
      <c r="Z43" s="86">
        <v>0.15</v>
      </c>
      <c r="AA43" s="86">
        <v>0.15</v>
      </c>
      <c r="AB43" s="86">
        <v>0.15</v>
      </c>
      <c r="AC43" s="86">
        <v>0.15</v>
      </c>
      <c r="AD43" s="86">
        <v>0.15</v>
      </c>
      <c r="AE43" s="86"/>
      <c r="AF43" s="86"/>
      <c r="AG43" s="77"/>
      <c r="AH43" s="77"/>
      <c r="AI43" s="77"/>
      <c r="AJ43" s="77"/>
    </row>
    <row r="44" spans="1:36" ht="12.75" x14ac:dyDescent="0.2">
      <c r="A44" s="88" t="s">
        <v>684</v>
      </c>
      <c r="B44" s="86">
        <f>B43</f>
        <v>0</v>
      </c>
      <c r="C44" s="86">
        <v>1</v>
      </c>
      <c r="D44" s="86">
        <v>1</v>
      </c>
      <c r="E44" s="86">
        <v>1</v>
      </c>
      <c r="F44" s="86">
        <v>1</v>
      </c>
      <c r="G44" s="86">
        <v>1</v>
      </c>
      <c r="H44" s="86">
        <v>1</v>
      </c>
      <c r="I44" s="86">
        <v>1</v>
      </c>
      <c r="J44" s="86">
        <v>1</v>
      </c>
      <c r="K44" s="86">
        <v>1</v>
      </c>
      <c r="L44" s="86">
        <v>1</v>
      </c>
      <c r="M44" s="86">
        <v>1</v>
      </c>
      <c r="N44" s="86">
        <v>1</v>
      </c>
      <c r="O44" s="86">
        <v>1</v>
      </c>
      <c r="P44" s="86">
        <v>1</v>
      </c>
      <c r="Q44" s="86">
        <v>1</v>
      </c>
      <c r="R44" s="86">
        <v>1</v>
      </c>
      <c r="S44" s="86">
        <v>1</v>
      </c>
      <c r="T44" s="86">
        <v>1</v>
      </c>
      <c r="U44" s="86">
        <v>1</v>
      </c>
      <c r="V44" s="86">
        <v>1</v>
      </c>
      <c r="W44" s="86">
        <v>1</v>
      </c>
      <c r="X44" s="86">
        <v>1</v>
      </c>
      <c r="Y44" s="86">
        <v>1</v>
      </c>
      <c r="Z44" s="86">
        <v>1</v>
      </c>
      <c r="AA44" s="86">
        <v>1</v>
      </c>
      <c r="AB44" s="86">
        <v>1</v>
      </c>
      <c r="AC44" s="86">
        <v>1</v>
      </c>
      <c r="AD44" s="86">
        <v>1</v>
      </c>
      <c r="AE44" s="86"/>
      <c r="AF44" s="86"/>
      <c r="AG44" s="77"/>
      <c r="AH44" s="77"/>
      <c r="AI44" s="77"/>
      <c r="AJ44" s="77"/>
    </row>
    <row r="45" spans="1:36" ht="12.75" x14ac:dyDescent="0.2">
      <c r="A45" s="85"/>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row>
    <row r="46" spans="1:36" ht="12.75" x14ac:dyDescent="0.2">
      <c r="A46" s="81" t="s">
        <v>685</v>
      </c>
      <c r="B46" s="81"/>
      <c r="C46" s="81"/>
      <c r="D46" s="81"/>
      <c r="E46" s="81"/>
      <c r="F46" s="81"/>
      <c r="G46" s="81"/>
      <c r="H46" s="81"/>
      <c r="I46" s="81"/>
      <c r="J46" s="81"/>
      <c r="K46" s="81"/>
      <c r="L46" s="81"/>
      <c r="M46" s="81"/>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1:36" ht="12.75" x14ac:dyDescent="0.2">
      <c r="A47" s="77" t="s">
        <v>686</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row>
    <row r="48" spans="1:36" ht="12.75" x14ac:dyDescent="0.2">
      <c r="A48" s="89" t="s">
        <v>687</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2.75" x14ac:dyDescent="0.2">
      <c r="A49" s="85"/>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row>
    <row r="50" spans="1:36" ht="12.75" x14ac:dyDescent="0.2">
      <c r="A50" s="90" t="s">
        <v>688</v>
      </c>
      <c r="B50" s="91" t="s">
        <v>689</v>
      </c>
      <c r="C50" s="77"/>
      <c r="D50" s="90" t="s">
        <v>690</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2.75" x14ac:dyDescent="0.2">
      <c r="A51" s="92" t="s">
        <v>691</v>
      </c>
      <c r="B51" s="93" t="s">
        <v>692</v>
      </c>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2.75" x14ac:dyDescent="0.2">
      <c r="A52" s="94" t="s">
        <v>693</v>
      </c>
      <c r="B52" s="95">
        <v>0.41199999999999998</v>
      </c>
      <c r="C52" s="96"/>
      <c r="D52" s="96">
        <v>0.11</v>
      </c>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2.75" x14ac:dyDescent="0.2">
      <c r="A53" s="94" t="s">
        <v>694</v>
      </c>
      <c r="B53" s="95">
        <v>0.13200000000000001</v>
      </c>
      <c r="C53" s="96"/>
      <c r="D53" s="96">
        <v>0.37</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2.75" x14ac:dyDescent="0.2">
      <c r="A54" s="94" t="s">
        <v>695</v>
      </c>
      <c r="B54" s="95">
        <v>0.114</v>
      </c>
      <c r="C54" s="96"/>
      <c r="D54" s="96">
        <v>0.15</v>
      </c>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2.75" x14ac:dyDescent="0.2">
      <c r="A55" s="94" t="s">
        <v>696</v>
      </c>
      <c r="B55" s="95">
        <v>7.0000000000000007E-2</v>
      </c>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2.75" x14ac:dyDescent="0.2">
      <c r="A56" s="94" t="s">
        <v>697</v>
      </c>
      <c r="B56" s="95">
        <v>8.7999999999999995E-2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2.75" x14ac:dyDescent="0.2">
      <c r="A57" s="94" t="s">
        <v>698</v>
      </c>
      <c r="B57" s="95">
        <v>5.2999999999999999E-2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2.75" x14ac:dyDescent="0.2">
      <c r="A58" s="94" t="s">
        <v>699</v>
      </c>
      <c r="B58" s="95">
        <v>4.3999999999999997E-2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2.75" x14ac:dyDescent="0.2">
      <c r="A59" s="94" t="s">
        <v>700</v>
      </c>
      <c r="B59" s="95">
        <v>1.7999999999999999E-2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2.75" x14ac:dyDescent="0.2">
      <c r="A60" s="94" t="s">
        <v>701</v>
      </c>
      <c r="B60" s="95">
        <v>2.5999999999999999E-2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2.75" x14ac:dyDescent="0.2">
      <c r="A61" s="97" t="s">
        <v>702</v>
      </c>
      <c r="B61" s="98">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2.75" x14ac:dyDescent="0.2">
      <c r="A62" s="85"/>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2.75" x14ac:dyDescent="0.2">
      <c r="A63" s="77" t="s">
        <v>703</v>
      </c>
      <c r="B63" s="96">
        <f>SUMPRODUCT(B52:B54,D52:D54)/SUM(B52:B54)</f>
        <v>0.16908814589665652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2.75" x14ac:dyDescent="0.2">
      <c r="A64" s="77" t="s">
        <v>704</v>
      </c>
      <c r="B64" s="96">
        <f>AVERAGE(H72,B63)</f>
        <v>0.3595440729483283</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2.75" x14ac:dyDescent="0.2">
      <c r="A65" s="77"/>
      <c r="B65" s="96"/>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2.75" x14ac:dyDescent="0.2">
      <c r="A66" s="77"/>
      <c r="B66" s="85">
        <v>2022</v>
      </c>
      <c r="C66" s="85">
        <v>2023</v>
      </c>
      <c r="D66" s="85">
        <v>2024</v>
      </c>
      <c r="E66" s="85">
        <v>2025</v>
      </c>
      <c r="F66" s="85">
        <v>2026</v>
      </c>
      <c r="G66" s="85">
        <v>2027</v>
      </c>
      <c r="H66" s="85">
        <v>2028</v>
      </c>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2.75" x14ac:dyDescent="0.2">
      <c r="A67" s="79" t="s">
        <v>705</v>
      </c>
      <c r="B67" s="96">
        <f>B63</f>
        <v>0.16908814589665652</v>
      </c>
      <c r="C67" s="96">
        <f>B67</f>
        <v>0.16908814589665652</v>
      </c>
      <c r="D67" s="96">
        <f t="shared" ref="D67:G67" si="0">($H$67-$B$67)/5+C67</f>
        <v>0.20717933130699087</v>
      </c>
      <c r="E67" s="96">
        <f t="shared" si="0"/>
        <v>0.24527051671732522</v>
      </c>
      <c r="F67" s="96">
        <f t="shared" si="0"/>
        <v>0.2833617021276596</v>
      </c>
      <c r="G67" s="96">
        <f t="shared" si="0"/>
        <v>0.32145288753799395</v>
      </c>
      <c r="H67" s="96">
        <v>0.3595440729483283</v>
      </c>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2.75"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7"/>
      <c r="AG68" s="77"/>
      <c r="AH68" s="77"/>
      <c r="AI68" s="77"/>
      <c r="AJ68" s="77"/>
    </row>
    <row r="69" spans="1:36" ht="25.5" x14ac:dyDescent="0.2">
      <c r="A69" s="79" t="s">
        <v>706</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7"/>
      <c r="AG69" s="77"/>
      <c r="AH69" s="77"/>
      <c r="AI69" s="77"/>
      <c r="AJ69" s="77"/>
    </row>
    <row r="70" spans="1:36" ht="12.75"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85"/>
      <c r="AG70" s="85"/>
      <c r="AH70" s="85"/>
      <c r="AI70" s="85"/>
      <c r="AJ70" s="85"/>
    </row>
    <row r="71" spans="1:36" s="99" customFormat="1" ht="12.75" x14ac:dyDescent="0.2">
      <c r="A71" s="88"/>
      <c r="B71" s="88">
        <v>2022</v>
      </c>
      <c r="C71" s="88">
        <v>2023</v>
      </c>
      <c r="D71" s="88">
        <v>2024</v>
      </c>
      <c r="E71" s="88">
        <v>2025</v>
      </c>
      <c r="F71" s="88">
        <v>2026</v>
      </c>
      <c r="G71" s="88">
        <v>2027</v>
      </c>
      <c r="H71" s="88">
        <v>2028</v>
      </c>
      <c r="I71" s="88">
        <v>2029</v>
      </c>
      <c r="J71" s="88">
        <v>2030</v>
      </c>
      <c r="K71" s="88">
        <v>2031</v>
      </c>
      <c r="L71" s="88">
        <v>2032</v>
      </c>
      <c r="M71" s="88">
        <v>2033</v>
      </c>
      <c r="N71" s="88">
        <v>2034</v>
      </c>
      <c r="O71" s="88">
        <v>2035</v>
      </c>
      <c r="P71" s="88">
        <v>2036</v>
      </c>
      <c r="Q71" s="88">
        <v>2037</v>
      </c>
      <c r="R71" s="88">
        <v>2038</v>
      </c>
      <c r="S71" s="88">
        <v>2039</v>
      </c>
      <c r="T71" s="88">
        <v>2040</v>
      </c>
      <c r="U71" s="88">
        <v>2041</v>
      </c>
      <c r="V71" s="88">
        <v>2042</v>
      </c>
      <c r="W71" s="88">
        <v>2043</v>
      </c>
      <c r="X71" s="88">
        <v>2044</v>
      </c>
      <c r="Y71" s="88">
        <v>2045</v>
      </c>
      <c r="Z71" s="88">
        <v>2046</v>
      </c>
      <c r="AA71" s="88">
        <v>2047</v>
      </c>
      <c r="AB71" s="88">
        <v>2048</v>
      </c>
      <c r="AC71" s="88">
        <v>2049</v>
      </c>
      <c r="AD71" s="88">
        <v>2050</v>
      </c>
      <c r="AE71" s="88"/>
      <c r="AF71" s="85"/>
      <c r="AG71" s="85"/>
      <c r="AH71" s="85"/>
      <c r="AI71" s="85"/>
      <c r="AJ71" s="85"/>
    </row>
    <row r="72" spans="1:36" ht="12.75" x14ac:dyDescent="0.2">
      <c r="A72" s="96" t="s">
        <v>707</v>
      </c>
      <c r="B72" s="100">
        <v>0.4</v>
      </c>
      <c r="C72" s="100">
        <v>0.4</v>
      </c>
      <c r="D72" s="100">
        <v>0.4</v>
      </c>
      <c r="E72" s="100">
        <v>0.4</v>
      </c>
      <c r="F72" s="100">
        <v>0.45</v>
      </c>
      <c r="G72" s="100">
        <v>0.5</v>
      </c>
      <c r="H72" s="100">
        <v>0.55000000000000004</v>
      </c>
      <c r="I72" s="100">
        <v>0.55000000000000004</v>
      </c>
      <c r="J72" s="100">
        <v>0.55000000000000004</v>
      </c>
      <c r="K72" s="100">
        <v>0.55000000000000004</v>
      </c>
      <c r="L72" s="100">
        <v>0.55000000000000004</v>
      </c>
      <c r="M72" s="100">
        <v>0.55000000000000004</v>
      </c>
      <c r="N72" s="100">
        <v>0.55000000000000004</v>
      </c>
      <c r="O72" s="100">
        <v>0.55000000000000004</v>
      </c>
      <c r="P72" s="100">
        <v>0.55000000000000004</v>
      </c>
      <c r="Q72" s="100">
        <v>0.55000000000000004</v>
      </c>
      <c r="R72" s="100">
        <v>0.55000000000000004</v>
      </c>
      <c r="S72" s="100">
        <v>0.55000000000000004</v>
      </c>
      <c r="T72" s="100">
        <v>0.55000000000000004</v>
      </c>
      <c r="U72" s="100">
        <v>0.55000000000000004</v>
      </c>
      <c r="V72" s="100">
        <v>0.55000000000000004</v>
      </c>
      <c r="W72" s="100">
        <v>0.55000000000000004</v>
      </c>
      <c r="X72" s="100">
        <v>0.55000000000000004</v>
      </c>
      <c r="Y72" s="100">
        <v>0.55000000000000004</v>
      </c>
      <c r="Z72" s="100">
        <v>0.55000000000000004</v>
      </c>
      <c r="AA72" s="100">
        <v>0.55000000000000004</v>
      </c>
      <c r="AB72" s="100">
        <v>0.55000000000000004</v>
      </c>
      <c r="AC72" s="100">
        <v>0.55000000000000004</v>
      </c>
      <c r="AD72" s="100">
        <v>0.55000000000000004</v>
      </c>
      <c r="AE72" s="96"/>
      <c r="AF72" s="96"/>
      <c r="AG72" s="96"/>
      <c r="AH72" s="96"/>
      <c r="AI72" s="96"/>
      <c r="AJ72" s="96"/>
    </row>
    <row r="73" spans="1:36" ht="12.75" x14ac:dyDescent="0.2">
      <c r="A73" s="96" t="s">
        <v>708</v>
      </c>
      <c r="B73" s="100">
        <f>B63</f>
        <v>0.16908814589665652</v>
      </c>
      <c r="C73" s="100">
        <f>($H$73-$B$73)/COUNT($C$71:$H$71)+B73</f>
        <v>0.20083080040526849</v>
      </c>
      <c r="D73" s="100">
        <f t="shared" ref="D73:G73" si="1">($H$73-$B$73)/COUNT($C$71:$H$71)+C73</f>
        <v>0.23257345491388046</v>
      </c>
      <c r="E73" s="100">
        <f t="shared" si="1"/>
        <v>0.2643161094224924</v>
      </c>
      <c r="F73" s="100">
        <f t="shared" si="1"/>
        <v>0.29605876393110436</v>
      </c>
      <c r="G73" s="100">
        <f t="shared" si="1"/>
        <v>0.32780141843971633</v>
      </c>
      <c r="H73" s="100">
        <f>B64</f>
        <v>0.3595440729483283</v>
      </c>
      <c r="I73" s="100">
        <f>$H$73</f>
        <v>0.3595440729483283</v>
      </c>
      <c r="J73" s="100">
        <f t="shared" ref="J73:AD73" si="2">$H$73</f>
        <v>0.3595440729483283</v>
      </c>
      <c r="K73" s="100">
        <f t="shared" si="2"/>
        <v>0.3595440729483283</v>
      </c>
      <c r="L73" s="100">
        <f t="shared" si="2"/>
        <v>0.3595440729483283</v>
      </c>
      <c r="M73" s="100">
        <f t="shared" si="2"/>
        <v>0.3595440729483283</v>
      </c>
      <c r="N73" s="100">
        <f t="shared" si="2"/>
        <v>0.3595440729483283</v>
      </c>
      <c r="O73" s="100">
        <f t="shared" si="2"/>
        <v>0.3595440729483283</v>
      </c>
      <c r="P73" s="100">
        <f t="shared" si="2"/>
        <v>0.3595440729483283</v>
      </c>
      <c r="Q73" s="100">
        <f t="shared" si="2"/>
        <v>0.3595440729483283</v>
      </c>
      <c r="R73" s="100">
        <f t="shared" si="2"/>
        <v>0.3595440729483283</v>
      </c>
      <c r="S73" s="100">
        <f t="shared" si="2"/>
        <v>0.3595440729483283</v>
      </c>
      <c r="T73" s="100">
        <f t="shared" si="2"/>
        <v>0.3595440729483283</v>
      </c>
      <c r="U73" s="100">
        <f t="shared" si="2"/>
        <v>0.3595440729483283</v>
      </c>
      <c r="V73" s="100">
        <f t="shared" si="2"/>
        <v>0.3595440729483283</v>
      </c>
      <c r="W73" s="100">
        <f t="shared" si="2"/>
        <v>0.3595440729483283</v>
      </c>
      <c r="X73" s="100">
        <f t="shared" si="2"/>
        <v>0.3595440729483283</v>
      </c>
      <c r="Y73" s="100">
        <f t="shared" si="2"/>
        <v>0.3595440729483283</v>
      </c>
      <c r="Z73" s="100">
        <f t="shared" si="2"/>
        <v>0.3595440729483283</v>
      </c>
      <c r="AA73" s="100">
        <f t="shared" si="2"/>
        <v>0.3595440729483283</v>
      </c>
      <c r="AB73" s="100">
        <f t="shared" si="2"/>
        <v>0.3595440729483283</v>
      </c>
      <c r="AC73" s="100">
        <f t="shared" si="2"/>
        <v>0.3595440729483283</v>
      </c>
      <c r="AD73" s="100">
        <f t="shared" si="2"/>
        <v>0.3595440729483283</v>
      </c>
      <c r="AE73" s="96"/>
      <c r="AF73" s="96"/>
      <c r="AG73" s="96"/>
      <c r="AH73" s="96"/>
      <c r="AI73" s="96"/>
      <c r="AJ73" s="96"/>
    </row>
    <row r="74" spans="1:36" ht="12.75" x14ac:dyDescent="0.2">
      <c r="A74" s="77" t="s">
        <v>709</v>
      </c>
      <c r="B74" s="100">
        <f>B73/B72</f>
        <v>0.42272036474164126</v>
      </c>
      <c r="C74" s="100">
        <f t="shared" ref="C74:AD74" si="3">C73/C72</f>
        <v>0.50207700101317121</v>
      </c>
      <c r="D74" s="100">
        <f t="shared" si="3"/>
        <v>0.5814336372847011</v>
      </c>
      <c r="E74" s="100">
        <f t="shared" si="3"/>
        <v>0.66079027355623099</v>
      </c>
      <c r="F74" s="100">
        <f t="shared" si="3"/>
        <v>0.65790836429134303</v>
      </c>
      <c r="G74" s="100">
        <f t="shared" si="3"/>
        <v>0.65560283687943266</v>
      </c>
      <c r="H74" s="100">
        <f t="shared" si="3"/>
        <v>0.65371649626968775</v>
      </c>
      <c r="I74" s="100">
        <f t="shared" si="3"/>
        <v>0.65371649626968775</v>
      </c>
      <c r="J74" s="100">
        <f t="shared" si="3"/>
        <v>0.65371649626968775</v>
      </c>
      <c r="K74" s="100">
        <f t="shared" si="3"/>
        <v>0.65371649626968775</v>
      </c>
      <c r="L74" s="100">
        <f t="shared" si="3"/>
        <v>0.65371649626968775</v>
      </c>
      <c r="M74" s="100">
        <f t="shared" si="3"/>
        <v>0.65371649626968775</v>
      </c>
      <c r="N74" s="100">
        <f t="shared" si="3"/>
        <v>0.65371649626968775</v>
      </c>
      <c r="O74" s="100">
        <f t="shared" si="3"/>
        <v>0.65371649626968775</v>
      </c>
      <c r="P74" s="100">
        <f t="shared" si="3"/>
        <v>0.65371649626968775</v>
      </c>
      <c r="Q74" s="100">
        <f t="shared" si="3"/>
        <v>0.65371649626968775</v>
      </c>
      <c r="R74" s="100">
        <f t="shared" si="3"/>
        <v>0.65371649626968775</v>
      </c>
      <c r="S74" s="100">
        <f t="shared" si="3"/>
        <v>0.65371649626968775</v>
      </c>
      <c r="T74" s="100">
        <f t="shared" si="3"/>
        <v>0.65371649626968775</v>
      </c>
      <c r="U74" s="100">
        <f t="shared" si="3"/>
        <v>0.65371649626968775</v>
      </c>
      <c r="V74" s="100">
        <f t="shared" si="3"/>
        <v>0.65371649626968775</v>
      </c>
      <c r="W74" s="100">
        <f t="shared" si="3"/>
        <v>0.65371649626968775</v>
      </c>
      <c r="X74" s="100">
        <f t="shared" si="3"/>
        <v>0.65371649626968775</v>
      </c>
      <c r="Y74" s="100">
        <f t="shared" si="3"/>
        <v>0.65371649626968775</v>
      </c>
      <c r="Z74" s="100">
        <f t="shared" si="3"/>
        <v>0.65371649626968775</v>
      </c>
      <c r="AA74" s="100">
        <f t="shared" si="3"/>
        <v>0.65371649626968775</v>
      </c>
      <c r="AB74" s="100">
        <f t="shared" si="3"/>
        <v>0.65371649626968775</v>
      </c>
      <c r="AC74" s="100">
        <f t="shared" si="3"/>
        <v>0.65371649626968775</v>
      </c>
      <c r="AD74" s="100">
        <f t="shared" si="3"/>
        <v>0.65371649626968775</v>
      </c>
      <c r="AE74" s="77"/>
      <c r="AF74" s="77"/>
      <c r="AG74" s="77"/>
      <c r="AH74" s="77"/>
      <c r="AI74" s="77"/>
      <c r="AJ74" s="77"/>
    </row>
    <row r="75" spans="1:36" ht="12.75" x14ac:dyDescent="0.2">
      <c r="A75" s="83"/>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85"/>
      <c r="AF75" s="85"/>
      <c r="AG75" s="85"/>
      <c r="AH75" s="85"/>
      <c r="AI75" s="85"/>
      <c r="AJ75" s="85"/>
    </row>
    <row r="76" spans="1:36" s="102" customFormat="1" ht="25.5" x14ac:dyDescent="0.2">
      <c r="A76" s="79" t="s">
        <v>710</v>
      </c>
      <c r="B76" s="101">
        <v>1</v>
      </c>
      <c r="C76" s="101">
        <v>1</v>
      </c>
      <c r="D76" s="101">
        <v>1</v>
      </c>
      <c r="E76" s="101">
        <v>1</v>
      </c>
      <c r="F76" s="101">
        <v>1</v>
      </c>
      <c r="G76" s="101">
        <v>1</v>
      </c>
      <c r="H76" s="101">
        <v>1</v>
      </c>
      <c r="I76" s="101">
        <v>1</v>
      </c>
      <c r="J76" s="101">
        <v>1</v>
      </c>
      <c r="K76" s="101">
        <v>1</v>
      </c>
      <c r="L76" s="101">
        <v>1</v>
      </c>
      <c r="M76" s="101">
        <v>1</v>
      </c>
      <c r="N76" s="101">
        <v>1</v>
      </c>
      <c r="O76" s="101">
        <v>1</v>
      </c>
      <c r="P76" s="101">
        <v>1</v>
      </c>
      <c r="Q76" s="101">
        <v>1</v>
      </c>
      <c r="R76" s="101">
        <v>1</v>
      </c>
      <c r="S76" s="101">
        <v>1</v>
      </c>
      <c r="T76" s="101">
        <v>1</v>
      </c>
      <c r="U76" s="101">
        <v>1</v>
      </c>
      <c r="V76" s="101">
        <v>1</v>
      </c>
      <c r="W76" s="101">
        <v>1</v>
      </c>
      <c r="X76" s="101">
        <v>1</v>
      </c>
      <c r="Y76" s="101">
        <v>1</v>
      </c>
      <c r="Z76" s="101">
        <v>1</v>
      </c>
      <c r="AA76" s="101">
        <v>1</v>
      </c>
      <c r="AB76" s="101">
        <v>1</v>
      </c>
      <c r="AC76" s="101">
        <v>1</v>
      </c>
      <c r="AD76" s="101">
        <v>1</v>
      </c>
      <c r="AE76" s="88"/>
      <c r="AF76" s="88"/>
      <c r="AG76" s="88"/>
      <c r="AH76" s="88"/>
      <c r="AI76" s="88"/>
      <c r="AJ76" s="88"/>
    </row>
    <row r="77" spans="1:36" ht="12.75" x14ac:dyDescent="0.2">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row>
    <row r="78" spans="1:36" ht="12.75" x14ac:dyDescent="0.2">
      <c r="A78" s="81" t="s">
        <v>711</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row>
    <row r="79" spans="1:36" ht="12.75" x14ac:dyDescent="0.2">
      <c r="A79" s="83" t="s">
        <v>712</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row>
    <row r="80" spans="1:36" ht="12.75" x14ac:dyDescent="0.2">
      <c r="A80" s="83" t="s">
        <v>713</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row>
    <row r="81" spans="1:36" ht="12.75" x14ac:dyDescent="0.2">
      <c r="A81" s="83" t="s">
        <v>714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row>
    <row r="82" spans="1:36" ht="12.75" x14ac:dyDescent="0.2">
      <c r="A82" s="83" t="s">
        <v>715</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2.75" x14ac:dyDescent="0.2">
      <c r="A83" s="83" t="s">
        <v>716</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2.75" x14ac:dyDescent="0.2">
      <c r="A85" s="81" t="s">
        <v>717</v>
      </c>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row>
    <row r="86" spans="1:36" ht="12.75" x14ac:dyDescent="0.2">
      <c r="A86" s="103"/>
      <c r="B86" s="103"/>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2.75" x14ac:dyDescent="0.2">
      <c r="A87" s="103" t="s">
        <v>718</v>
      </c>
      <c r="B87" s="104">
        <v>3</v>
      </c>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2.75" x14ac:dyDescent="0.2">
      <c r="A88" s="103" t="s">
        <v>719</v>
      </c>
      <c r="B88" s="104">
        <v>15</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row>
    <row r="89" spans="1:36" ht="12.75" x14ac:dyDescent="0.2">
      <c r="A89" s="103" t="s">
        <v>846</v>
      </c>
      <c r="B89" s="77">
        <v>1.6687000000000001</v>
      </c>
      <c r="C89" s="105" t="s">
        <v>720</v>
      </c>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2.75" x14ac:dyDescent="0.2">
      <c r="A90" s="103" t="s">
        <v>721</v>
      </c>
      <c r="B90" s="106">
        <v>0.88711067149387013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7.25" x14ac:dyDescent="0.4">
      <c r="A91" s="103" t="s">
        <v>722</v>
      </c>
      <c r="B91" s="107">
        <v>10</v>
      </c>
      <c r="C91" s="77"/>
      <c r="D91" s="77"/>
      <c r="E91" s="10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7.25" x14ac:dyDescent="0.4">
      <c r="A92" s="103"/>
      <c r="B92" s="107"/>
      <c r="C92" s="77"/>
      <c r="D92" s="77"/>
      <c r="E92" s="10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28.5" x14ac:dyDescent="0.4">
      <c r="A93" s="103" t="s">
        <v>1057</v>
      </c>
      <c r="B93" s="107"/>
      <c r="C93" s="77"/>
      <c r="D93" s="77"/>
      <c r="E93" s="10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2.75" x14ac:dyDescent="0.2">
      <c r="A94" s="103"/>
      <c r="B94" s="107">
        <v>2023</v>
      </c>
      <c r="C94" s="107">
        <v>2024</v>
      </c>
      <c r="D94" s="107">
        <v>2025</v>
      </c>
      <c r="E94" s="107">
        <v>2026</v>
      </c>
      <c r="F94" s="107">
        <v>2027</v>
      </c>
      <c r="G94" s="107">
        <v>2028</v>
      </c>
      <c r="H94" s="107">
        <v>2029</v>
      </c>
      <c r="I94" s="107">
        <v>2030</v>
      </c>
      <c r="J94" s="107">
        <v>2031</v>
      </c>
      <c r="K94" s="107">
        <v>2032</v>
      </c>
      <c r="L94" s="107">
        <v>2033</v>
      </c>
      <c r="M94" s="107">
        <v>2034</v>
      </c>
      <c r="N94" s="107">
        <v>2035</v>
      </c>
      <c r="O94" s="107">
        <v>2036</v>
      </c>
      <c r="P94" s="107">
        <v>2037</v>
      </c>
      <c r="Q94" s="107">
        <v>2038</v>
      </c>
      <c r="R94" s="107">
        <v>2039</v>
      </c>
      <c r="S94" s="107">
        <v>2040</v>
      </c>
      <c r="T94" s="107">
        <v>2041</v>
      </c>
      <c r="U94" s="107">
        <v>2042</v>
      </c>
      <c r="V94" s="107">
        <v>2043</v>
      </c>
      <c r="W94" s="107">
        <v>2044</v>
      </c>
      <c r="X94" s="107">
        <v>2045</v>
      </c>
      <c r="Y94" s="107">
        <v>2046</v>
      </c>
      <c r="Z94" s="107">
        <v>2047</v>
      </c>
      <c r="AA94" s="107">
        <v>2048</v>
      </c>
      <c r="AB94" s="107">
        <v>2049</v>
      </c>
      <c r="AC94" s="107">
        <v>2050</v>
      </c>
      <c r="AD94" s="77"/>
      <c r="AE94" s="77"/>
      <c r="AF94" s="77"/>
      <c r="AG94" s="77"/>
      <c r="AH94" s="77"/>
      <c r="AI94" s="77"/>
      <c r="AJ94" s="77"/>
    </row>
    <row r="95" spans="1:36" ht="12.75" x14ac:dyDescent="0.2">
      <c r="A95" s="103" t="s">
        <v>1056</v>
      </c>
      <c r="B95" s="347">
        <f>'Solar - Utility PV'!O384/'Tax Credits'!E29</f>
        <v>0.81340045030017205</v>
      </c>
      <c r="C95" s="347">
        <f>'Solar - Utility PV'!P384/'Tax Credits'!F29</f>
        <v>0.81510163468640739</v>
      </c>
      <c r="D95" s="347">
        <f>'Solar - Utility PV'!Q384/'Tax Credits'!G29</f>
        <v>0.81589991682306995</v>
      </c>
      <c r="E95" s="347">
        <f>'Solar - Utility PV'!R384/'Tax Credits'!H29</f>
        <v>0.81674213813945595</v>
      </c>
      <c r="F95" s="347">
        <f>'Solar - Utility PV'!S384/'Tax Credits'!I29</f>
        <v>0.81763202697741111</v>
      </c>
      <c r="G95" s="347">
        <f>'Solar - Utility PV'!T384/'Tax Credits'!J29</f>
        <v>0.81857374532301308</v>
      </c>
      <c r="H95" s="347">
        <f>'Solar - Utility PV'!U384/'Tax Credits'!K29</f>
        <v>0.81957195368256253</v>
      </c>
      <c r="I95" s="347">
        <f>'Solar - Utility PV'!V384/'Tax Credits'!L29</f>
        <v>0.82063188795183062</v>
      </c>
      <c r="J95" s="347">
        <f>'Solar - Utility PV'!W384/'Tax Credits'!M29</f>
        <v>0.82175945094478053</v>
      </c>
      <c r="K95" s="347">
        <f>'Solar - Utility PV'!X384/'Tax Credits'!N29</f>
        <v>0.82296132194619032</v>
      </c>
      <c r="L95" s="347">
        <f>'Solar - Utility PV'!Y384/'Tax Credits'!O29</f>
        <v>0.82424508856402612</v>
      </c>
      <c r="M95" s="347">
        <f>'Solar - Utility PV'!Z384/'Tax Credits'!P29</f>
        <v>0.82561940635557174</v>
      </c>
      <c r="N95" s="347">
        <f>'Solar - Utility PV'!AA384/'Tax Credits'!Q29</f>
        <v>0.82709419329022871</v>
      </c>
      <c r="O95" s="347">
        <f>'Solar - Utility PV'!AB384/'Tax Credits'!R29</f>
        <v>0.82758691614833335</v>
      </c>
      <c r="P95" s="347">
        <f>'Solar - Utility PV'!AC384/'Tax Credits'!S29</f>
        <v>0.8280911882366675</v>
      </c>
      <c r="Q95" s="347">
        <f>'Solar - Utility PV'!AD384/'Tax Credits'!T29</f>
        <v>0.82860741978871177</v>
      </c>
      <c r="R95" s="347">
        <f>'Solar - Utility PV'!AE384/'Tax Credits'!U29</f>
        <v>0.82913604066724711</v>
      </c>
      <c r="S95" s="347">
        <f>'Solar - Utility PV'!AF384/'Tax Credits'!V29</f>
        <v>0.82967750155065345</v>
      </c>
      <c r="T95" s="347">
        <f>'Solar - Utility PV'!AG384/'Tax Credits'!W29</f>
        <v>0.83023227520596132</v>
      </c>
      <c r="U95" s="347">
        <f>'Solar - Utility PV'!AH384/'Tax Credits'!X29</f>
        <v>0.83080085785651914</v>
      </c>
      <c r="V95" s="347">
        <f>'Solar - Utility PV'!AI384/'Tax Credits'!Y29</f>
        <v>0.83138377065211</v>
      </c>
      <c r="W95" s="347">
        <f>'Solar - Utility PV'!AJ384/'Tax Credits'!Z29</f>
        <v>0.8219829594089384</v>
      </c>
      <c r="X95" s="347">
        <f>'Solar - Utility PV'!AK384/'Tax Credits'!AA29</f>
        <v>0.81220845556490473</v>
      </c>
      <c r="Y95" s="347">
        <f>$X95</f>
        <v>0.81220845556490473</v>
      </c>
      <c r="Z95" s="347">
        <f t="shared" ref="Z95:AC96" si="4">$X95</f>
        <v>0.81220845556490473</v>
      </c>
      <c r="AA95" s="347">
        <f t="shared" si="4"/>
        <v>0.81220845556490473</v>
      </c>
      <c r="AB95" s="347">
        <f t="shared" si="4"/>
        <v>0.81220845556490473</v>
      </c>
      <c r="AC95" s="347">
        <f t="shared" si="4"/>
        <v>0.81220845556490473</v>
      </c>
      <c r="AD95" s="77"/>
      <c r="AE95" s="77"/>
      <c r="AF95" s="77"/>
      <c r="AG95" s="77"/>
      <c r="AH95" s="77"/>
      <c r="AI95" s="77"/>
      <c r="AJ95" s="77"/>
    </row>
    <row r="96" spans="1:36" ht="12.75" x14ac:dyDescent="0.2">
      <c r="A96" s="103" t="s">
        <v>1055</v>
      </c>
      <c r="B96" s="347">
        <f>'Land-Based Wind'!O372/'Tax Credits'!E27</f>
        <v>0.84508078721372071</v>
      </c>
      <c r="C96" s="347">
        <f>'Land-Based Wind'!P372/'Tax Credits'!F27</f>
        <v>0.85049341722823724</v>
      </c>
      <c r="D96" s="347">
        <f>'Land-Based Wind'!Q372/'Tax Credits'!G27</f>
        <v>0.85155620178502767</v>
      </c>
      <c r="E96" s="347">
        <f>'Land-Based Wind'!R372/'Tax Credits'!H27</f>
        <v>0.85265035238009146</v>
      </c>
      <c r="F96" s="347">
        <f>'Land-Based Wind'!S372/'Tax Credits'!I27</f>
        <v>0.85377727144743532</v>
      </c>
      <c r="G96" s="347">
        <f>'Land-Based Wind'!T372/'Tax Credits'!J27</f>
        <v>0.85493844584292644</v>
      </c>
      <c r="H96" s="347">
        <f>'Land-Based Wind'!U372/'Tax Credits'!K27</f>
        <v>0.85613545325647478</v>
      </c>
      <c r="I96" s="347">
        <f>'Land-Based Wind'!V372/'Tax Credits'!L27</f>
        <v>0.85736996921359376</v>
      </c>
      <c r="J96" s="347">
        <f>'Land-Based Wind'!W372/'Tax Credits'!M27</f>
        <v>0.85783370043722862</v>
      </c>
      <c r="K96" s="347">
        <f>'Land-Based Wind'!X372/'Tax Credits'!N27</f>
        <v>0.85830456768613206</v>
      </c>
      <c r="L96" s="347">
        <f>'Land-Based Wind'!Y372/'Tax Credits'!O27</f>
        <v>0.85878273640842528</v>
      </c>
      <c r="M96" s="347">
        <f>'Land-Based Wind'!Z372/'Tax Credits'!P27</f>
        <v>0.85926837718873395</v>
      </c>
      <c r="N96" s="347">
        <f>'Land-Based Wind'!AA372/'Tax Credits'!Q27</f>
        <v>0.85976166594834347</v>
      </c>
      <c r="O96" s="347">
        <f>'Land-Based Wind'!AB372/'Tax Credits'!R27</f>
        <v>0.86026278415476454</v>
      </c>
      <c r="P96" s="347">
        <f>'Land-Based Wind'!AC372/'Tax Credits'!S27</f>
        <v>0.86077191904117611</v>
      </c>
      <c r="Q96" s="347">
        <f>'Land-Based Wind'!AD372/'Tax Credits'!T27</f>
        <v>0.86128926383638382</v>
      </c>
      <c r="R96" s="347">
        <f>'Land-Based Wind'!AE372/'Tax Credits'!U27</f>
        <v>0.86181501800574978</v>
      </c>
      <c r="S96" s="347">
        <f>'Land-Based Wind'!AF372/'Tax Credits'!V27</f>
        <v>0.86234938750383328</v>
      </c>
      <c r="T96" s="347">
        <f>'Land-Based Wind'!AG372/'Tax Credits'!W27</f>
        <v>0.86289258503945143</v>
      </c>
      <c r="U96" s="347">
        <f>'Land-Based Wind'!AH372/'Tax Credits'!X27</f>
        <v>0.8634448303535156</v>
      </c>
      <c r="V96" s="347">
        <f>'Land-Based Wind'!AI372/'Tax Credits'!Y27</f>
        <v>0.86400635051092267</v>
      </c>
      <c r="W96" s="347">
        <f>'Land-Based Wind'!AJ372/'Tax Credits'!Z27</f>
        <v>0.85008713643046196</v>
      </c>
      <c r="X96" s="347">
        <f>'Land-Based Wind'!AK372/'Tax Credits'!AA27</f>
        <v>0.83566231480590503</v>
      </c>
      <c r="Y96" s="347">
        <f>$X96</f>
        <v>0.83566231480590503</v>
      </c>
      <c r="Z96" s="347">
        <f t="shared" si="4"/>
        <v>0.83566231480590503</v>
      </c>
      <c r="AA96" s="347">
        <f t="shared" si="4"/>
        <v>0.83566231480590503</v>
      </c>
      <c r="AB96" s="347">
        <f t="shared" si="4"/>
        <v>0.83566231480590503</v>
      </c>
      <c r="AC96" s="347">
        <f t="shared" si="4"/>
        <v>0.83566231480590503</v>
      </c>
      <c r="AD96" s="77"/>
      <c r="AE96" s="77"/>
      <c r="AF96" s="77"/>
      <c r="AG96" s="77"/>
      <c r="AH96" s="77"/>
      <c r="AI96" s="77"/>
      <c r="AJ96" s="77"/>
    </row>
    <row r="97" spans="1:36" ht="17.25" x14ac:dyDescent="0.4">
      <c r="A97" s="103"/>
      <c r="B97" s="347"/>
      <c r="C97" s="77"/>
      <c r="D97" s="77"/>
      <c r="E97" s="34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row>
    <row r="98" spans="1:36" ht="17.25" x14ac:dyDescent="0.4">
      <c r="A98" s="103"/>
      <c r="B98" s="347"/>
      <c r="C98" s="77"/>
      <c r="D98" s="77"/>
      <c r="E98" s="34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row>
    <row r="99" spans="1:36" ht="12.75" x14ac:dyDescent="0.2">
      <c r="A99" s="103" t="s">
        <v>723</v>
      </c>
      <c r="B99" s="109">
        <f>B87*B89*B90</f>
        <v>4.4409647325654635</v>
      </c>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row>
    <row r="100" spans="1:36" ht="12.75" x14ac:dyDescent="0.2">
      <c r="A100" s="103" t="s">
        <v>724</v>
      </c>
      <c r="B100" s="109">
        <f>B88*B89*B90</f>
        <v>22.204823662827316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2.75" x14ac:dyDescent="0.2">
      <c r="A101" s="103" t="s">
        <v>725</v>
      </c>
      <c r="B101" s="110">
        <v>0.02</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7.25" x14ac:dyDescent="0.4">
      <c r="A102" s="103" t="s">
        <v>726</v>
      </c>
      <c r="B102" s="110">
        <v>0.1</v>
      </c>
      <c r="C102" s="77"/>
      <c r="D102" s="77"/>
      <c r="E102" s="111"/>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2.75" x14ac:dyDescent="0.2">
      <c r="A103" s="103" t="s">
        <v>595</v>
      </c>
      <c r="B103" s="110">
        <v>0</v>
      </c>
      <c r="C103" s="77" t="s">
        <v>822</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2.75" x14ac:dyDescent="0.2">
      <c r="A104" s="103" t="s">
        <v>727</v>
      </c>
      <c r="B104" s="112">
        <v>7.4999999999999997E-2</v>
      </c>
      <c r="C104" s="77" t="s">
        <v>851</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2.75" x14ac:dyDescent="0.2">
      <c r="A105" s="103" t="s">
        <v>728</v>
      </c>
      <c r="B105" s="110">
        <v>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2.75" x14ac:dyDescent="0.2">
      <c r="A106" s="103" t="s">
        <v>729</v>
      </c>
      <c r="B106" s="110">
        <v>0.5</v>
      </c>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2.75" x14ac:dyDescent="0.2">
      <c r="A107" s="103"/>
      <c r="B107" s="103"/>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s="116" customFormat="1" ht="12.75" x14ac:dyDescent="0.2">
      <c r="A108" s="113" t="s">
        <v>730</v>
      </c>
      <c r="B108" s="114"/>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row>
    <row r="109" spans="1:36" ht="12.75" x14ac:dyDescent="0.2">
      <c r="A109" s="103"/>
      <c r="B109" s="103">
        <v>2023</v>
      </c>
      <c r="C109" s="103">
        <v>2024</v>
      </c>
      <c r="D109" s="103">
        <v>2025</v>
      </c>
      <c r="E109" s="103">
        <v>2026</v>
      </c>
      <c r="F109" s="103">
        <v>2027</v>
      </c>
      <c r="G109" s="103">
        <v>2028</v>
      </c>
      <c r="H109" s="103">
        <v>2029</v>
      </c>
      <c r="I109" s="103">
        <v>2030</v>
      </c>
      <c r="J109" s="103">
        <v>2031</v>
      </c>
      <c r="K109" s="103">
        <v>2032</v>
      </c>
      <c r="L109" s="103">
        <v>2033</v>
      </c>
      <c r="M109" s="103">
        <v>2034</v>
      </c>
      <c r="N109" s="103">
        <v>2035</v>
      </c>
      <c r="O109" s="103">
        <v>2036</v>
      </c>
      <c r="P109" s="103">
        <v>2037</v>
      </c>
      <c r="Q109" s="103">
        <v>2038</v>
      </c>
      <c r="R109" s="103">
        <v>2039</v>
      </c>
      <c r="S109" s="103">
        <v>2040</v>
      </c>
      <c r="T109" s="103">
        <v>2041</v>
      </c>
      <c r="U109" s="103">
        <v>2042</v>
      </c>
      <c r="V109" s="103">
        <v>2043</v>
      </c>
      <c r="W109" s="103">
        <v>2044</v>
      </c>
      <c r="X109" s="103">
        <v>2045</v>
      </c>
      <c r="Y109" s="103">
        <v>2046</v>
      </c>
      <c r="Z109" s="103">
        <v>2047</v>
      </c>
      <c r="AA109" s="103">
        <v>2048</v>
      </c>
      <c r="AB109" s="103">
        <v>2049</v>
      </c>
      <c r="AC109" s="103">
        <v>2050</v>
      </c>
      <c r="AD109" s="103"/>
      <c r="AE109" s="77"/>
      <c r="AF109" s="77"/>
      <c r="AG109" s="77"/>
      <c r="AH109" s="77"/>
      <c r="AI109" s="77"/>
    </row>
    <row r="110" spans="1:36" ht="12.75" x14ac:dyDescent="0.2">
      <c r="A110" s="103" t="s">
        <v>731</v>
      </c>
      <c r="B110" s="117">
        <v>1</v>
      </c>
      <c r="C110" s="117">
        <v>1</v>
      </c>
      <c r="D110" s="117">
        <v>1</v>
      </c>
      <c r="E110" s="117">
        <v>1</v>
      </c>
      <c r="F110" s="117">
        <v>1</v>
      </c>
      <c r="G110" s="117">
        <v>1</v>
      </c>
      <c r="H110" s="117">
        <v>1</v>
      </c>
      <c r="I110" s="117">
        <v>1</v>
      </c>
      <c r="J110" s="117">
        <v>1</v>
      </c>
      <c r="K110" s="117">
        <v>1</v>
      </c>
      <c r="L110" s="117">
        <v>1</v>
      </c>
      <c r="M110" s="117">
        <v>1</v>
      </c>
      <c r="N110" s="117">
        <v>1</v>
      </c>
      <c r="O110" s="117">
        <v>1</v>
      </c>
      <c r="P110" s="117">
        <v>1</v>
      </c>
      <c r="Q110" s="117">
        <v>1</v>
      </c>
      <c r="R110" s="117">
        <v>1</v>
      </c>
      <c r="S110" s="117">
        <v>1</v>
      </c>
      <c r="T110" s="117">
        <v>0.75</v>
      </c>
      <c r="U110" s="117">
        <v>0.5</v>
      </c>
      <c r="V110" s="117">
        <v>0</v>
      </c>
      <c r="W110" s="117">
        <v>0</v>
      </c>
      <c r="X110" s="117">
        <v>0</v>
      </c>
      <c r="Y110" s="117">
        <v>0</v>
      </c>
      <c r="Z110" s="117">
        <v>0</v>
      </c>
      <c r="AA110" s="117">
        <v>0</v>
      </c>
      <c r="AB110" s="117">
        <v>0</v>
      </c>
      <c r="AC110" s="117">
        <v>0</v>
      </c>
      <c r="AD110" s="77"/>
      <c r="AE110" s="77"/>
      <c r="AF110" s="77"/>
      <c r="AG110" s="77"/>
      <c r="AH110" s="77"/>
      <c r="AI110" s="77"/>
    </row>
    <row r="111" spans="1:36" ht="12.75" x14ac:dyDescent="0.2">
      <c r="A111" s="103"/>
      <c r="B111" s="103"/>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row>
    <row r="112" spans="1:36" ht="12.75" x14ac:dyDescent="0.2">
      <c r="A112" s="103" t="s">
        <v>732</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77"/>
      <c r="AG112" s="77"/>
      <c r="AH112" s="77"/>
      <c r="AI112" s="77"/>
      <c r="AJ112" s="77"/>
    </row>
    <row r="113" spans="1:36" ht="12.75" x14ac:dyDescent="0.2">
      <c r="A113" s="103"/>
      <c r="B113" s="103">
        <v>2023</v>
      </c>
      <c r="C113" s="103">
        <v>2024</v>
      </c>
      <c r="D113" s="103">
        <v>2025</v>
      </c>
      <c r="E113" s="103">
        <v>2026</v>
      </c>
      <c r="F113" s="103">
        <v>2027</v>
      </c>
      <c r="G113" s="103">
        <v>2028</v>
      </c>
      <c r="H113" s="103">
        <v>2029</v>
      </c>
      <c r="I113" s="103">
        <v>2030</v>
      </c>
      <c r="J113" s="103">
        <v>2031</v>
      </c>
      <c r="K113" s="103">
        <v>2032</v>
      </c>
      <c r="L113" s="103">
        <v>2033</v>
      </c>
      <c r="M113" s="103">
        <v>2034</v>
      </c>
      <c r="N113" s="103">
        <v>2035</v>
      </c>
      <c r="O113" s="103">
        <v>2036</v>
      </c>
      <c r="P113" s="103">
        <v>2037</v>
      </c>
      <c r="Q113" s="103">
        <v>2038</v>
      </c>
      <c r="R113" s="103">
        <v>2039</v>
      </c>
      <c r="S113" s="103">
        <v>2040</v>
      </c>
      <c r="T113" s="103">
        <v>2041</v>
      </c>
      <c r="U113" s="103">
        <v>2042</v>
      </c>
      <c r="V113" s="103">
        <v>2043</v>
      </c>
      <c r="W113" s="103">
        <v>2044</v>
      </c>
      <c r="X113" s="103">
        <v>2045</v>
      </c>
      <c r="Y113" s="103">
        <v>2046</v>
      </c>
      <c r="Z113" s="103">
        <v>2047</v>
      </c>
      <c r="AA113" s="103">
        <v>2048</v>
      </c>
      <c r="AB113" s="103">
        <v>2049</v>
      </c>
      <c r="AC113" s="103">
        <v>2050</v>
      </c>
      <c r="AD113" s="103"/>
      <c r="AE113" s="103"/>
      <c r="AF113" s="77"/>
      <c r="AG113" s="77"/>
      <c r="AH113" s="77"/>
      <c r="AI113" s="77"/>
      <c r="AJ113" s="77"/>
    </row>
    <row r="114" spans="1:36" ht="12.75" x14ac:dyDescent="0.2">
      <c r="A114" s="103" t="s">
        <v>733</v>
      </c>
      <c r="B114" s="118">
        <f t="shared" ref="B114:C114" si="5">C114</f>
        <v>23.620381171332561</v>
      </c>
      <c r="C114" s="118">
        <f t="shared" si="5"/>
        <v>23.620381171332561</v>
      </c>
      <c r="D114" s="118">
        <f>((($B$100*C44+$B$99*(1-C44))*(1+($B$102*C76+$B$101*(1-C76))))+(($B$100*C44+$B$99*(1-C44))*$B$105*$B$106))*D110*(1-$B$104)</f>
        <v>23.620381171332561</v>
      </c>
      <c r="E114" s="118">
        <f>((($B$100*D44+$B$99*(1-D44))*(1+($B$102*D76+$B$101*(1-D76))))+(($B$100*D44+$B$99*(1-D44))*$B$105*$B$106))*E110*(1-$B$104)</f>
        <v>23.620381171332561</v>
      </c>
      <c r="F114" s="118">
        <f>((($B$100*E44+$B$99*(1-E44))*(1+($B$102*E76+$B$101*(1-E76))))+(($B$100*E44+$B$99*(1-E44))*$B$105*$B$106))*F110*(1-$B$104)</f>
        <v>23.620381171332561</v>
      </c>
      <c r="G114" s="118">
        <f>((($B$100*F44+$B$99*(1-F44))*(1+($B$102*F76+$B$101*(1-F76))))+(($B$100*F44+$B$99*(1-F44))*$B$105*$B$106))*G110*(1-$B$104)</f>
        <v>23.620381171332561</v>
      </c>
      <c r="H114" s="118">
        <f>((($B$100*G44+$B$99*(1-G44))*(1+($B$102*G76+$B$101*(1-G76))))+(($B$100*G44+$B$99*(1-G44))*$B$105*$B$106))*H110*(1-$B$104)</f>
        <v>23.620381171332561</v>
      </c>
      <c r="I114" s="118">
        <f t="shared" ref="I114:AC114" si="6">((($B$100*H44+$B$99*(1-H44))*(1+($B$102*H76+$B$101*(1-H76))))+(($B$100*H44+$B$99*(1-H44))*$B$105*$B$106))*I110*(1-$B$104)</f>
        <v>23.620381171332561</v>
      </c>
      <c r="J114" s="118">
        <f t="shared" si="6"/>
        <v>23.620381171332561</v>
      </c>
      <c r="K114" s="118">
        <f t="shared" si="6"/>
        <v>23.620381171332561</v>
      </c>
      <c r="L114" s="118">
        <f>((($B$100*K44+$B$99*(1-K44))*(1+($B$102*K76+$B$101*(1-K76))))+(($B$100*K44+$B$99*(1-K44))*$B$105*$B$106))*L110*(1-$B$104)</f>
        <v>23.620381171332561</v>
      </c>
      <c r="M114" s="118">
        <f>((($B$100*L44+$B$99*(1-L44))*(1+($B$102*L76+$B$101*(1-L76))))+(($B$100*L44+$B$99*(1-L44))*$B$105*$B$106))*M110*(1-$B$104)</f>
        <v>23.620381171332561</v>
      </c>
      <c r="N114" s="118">
        <f>((($B$100*M44+$B$99*(1-M44))*(1+($B$102*M76+$B$101*(1-M76))))+(($B$100*M44+$B$99*(1-M44))*$B$105*$B$106))*N110*(1-$B$104)</f>
        <v>23.620381171332561</v>
      </c>
      <c r="O114" s="118">
        <f t="shared" si="6"/>
        <v>23.620381171332561</v>
      </c>
      <c r="P114" s="118">
        <f t="shared" si="6"/>
        <v>23.620381171332561</v>
      </c>
      <c r="Q114" s="118">
        <f t="shared" si="6"/>
        <v>23.620381171332561</v>
      </c>
      <c r="R114" s="118">
        <f t="shared" si="6"/>
        <v>23.620381171332561</v>
      </c>
      <c r="S114" s="118">
        <f t="shared" si="6"/>
        <v>23.620381171332561</v>
      </c>
      <c r="T114" s="118">
        <f t="shared" si="6"/>
        <v>17.715285878499422</v>
      </c>
      <c r="U114" s="118">
        <f t="shared" si="6"/>
        <v>11.81019058566628</v>
      </c>
      <c r="V114" s="118">
        <f t="shared" si="6"/>
        <v>0</v>
      </c>
      <c r="W114" s="118">
        <f t="shared" si="6"/>
        <v>0</v>
      </c>
      <c r="X114" s="118">
        <f t="shared" si="6"/>
        <v>0</v>
      </c>
      <c r="Y114" s="118">
        <f t="shared" si="6"/>
        <v>0</v>
      </c>
      <c r="Z114" s="118">
        <f t="shared" si="6"/>
        <v>0</v>
      </c>
      <c r="AA114" s="118">
        <f t="shared" si="6"/>
        <v>0</v>
      </c>
      <c r="AB114" s="118">
        <f t="shared" si="6"/>
        <v>0</v>
      </c>
      <c r="AC114" s="118">
        <f t="shared" si="6"/>
        <v>0</v>
      </c>
      <c r="AD114" s="103"/>
      <c r="AE114" s="103"/>
      <c r="AF114" s="77"/>
      <c r="AG114" s="77"/>
      <c r="AH114" s="77"/>
      <c r="AI114" s="77"/>
      <c r="AJ114" s="77"/>
    </row>
    <row r="115" spans="1:36" ht="12.75" x14ac:dyDescent="0.2">
      <c r="A115" s="103" t="s">
        <v>734</v>
      </c>
      <c r="B115" s="118">
        <f>B114*$B$96*(1-$B$104)</f>
        <v>18.464045540966026</v>
      </c>
      <c r="C115" s="118">
        <f>C114*$B$96*(1-$B$104)</f>
        <v>18.464045540966026</v>
      </c>
      <c r="D115" s="118">
        <f>D114*B$96*(1-$B$104)</f>
        <v>18.464045540966026</v>
      </c>
      <c r="E115" s="118">
        <f t="shared" ref="E115:AC115" si="7">E114*C$96*(1-$B$104)</f>
        <v>18.582305296242133</v>
      </c>
      <c r="F115" s="118">
        <f t="shared" si="7"/>
        <v>18.605525919351447</v>
      </c>
      <c r="G115" s="118">
        <f t="shared" si="7"/>
        <v>18.629431854407127</v>
      </c>
      <c r="H115" s="118">
        <f t="shared" si="7"/>
        <v>18.654053742983038</v>
      </c>
      <c r="I115" s="118">
        <f>I114*G$96*(1-$B$104)</f>
        <v>18.679424071173838</v>
      </c>
      <c r="J115" s="118">
        <f t="shared" si="7"/>
        <v>18.705577309693794</v>
      </c>
      <c r="K115" s="118">
        <f t="shared" si="7"/>
        <v>18.732550066852841</v>
      </c>
      <c r="L115" s="118">
        <f t="shared" si="7"/>
        <v>18.742682061996398</v>
      </c>
      <c r="M115" s="118">
        <f t="shared" si="7"/>
        <v>18.752969971104079</v>
      </c>
      <c r="N115" s="118">
        <f t="shared" si="7"/>
        <v>18.763417409027497</v>
      </c>
      <c r="O115" s="118">
        <f t="shared" si="7"/>
        <v>18.774028102844987</v>
      </c>
      <c r="P115" s="118">
        <f t="shared" si="7"/>
        <v>18.784805896234786</v>
      </c>
      <c r="Q115" s="118">
        <f t="shared" si="7"/>
        <v>18.795754754053778</v>
      </c>
      <c r="R115" s="118">
        <f t="shared" si="7"/>
        <v>18.806878767132094</v>
      </c>
      <c r="S115" s="118">
        <f t="shared" si="7"/>
        <v>18.818182157297421</v>
      </c>
      <c r="T115" s="118">
        <f t="shared" si="7"/>
        <v>14.122251961979286</v>
      </c>
      <c r="U115" s="118">
        <f t="shared" si="7"/>
        <v>9.4206723215138908</v>
      </c>
      <c r="V115" s="118">
        <f t="shared" si="7"/>
        <v>0</v>
      </c>
      <c r="W115" s="118">
        <f t="shared" si="7"/>
        <v>0</v>
      </c>
      <c r="X115" s="118">
        <f t="shared" si="7"/>
        <v>0</v>
      </c>
      <c r="Y115" s="118">
        <f t="shared" si="7"/>
        <v>0</v>
      </c>
      <c r="Z115" s="118">
        <f t="shared" si="7"/>
        <v>0</v>
      </c>
      <c r="AA115" s="118">
        <f t="shared" si="7"/>
        <v>0</v>
      </c>
      <c r="AB115" s="118">
        <f t="shared" si="7"/>
        <v>0</v>
      </c>
      <c r="AC115" s="118">
        <f t="shared" si="7"/>
        <v>0</v>
      </c>
      <c r="AD115" s="103"/>
      <c r="AE115" s="103"/>
      <c r="AF115" s="77"/>
      <c r="AG115" s="77"/>
      <c r="AH115" s="77"/>
      <c r="AI115" s="77"/>
      <c r="AJ115" s="77"/>
    </row>
    <row r="116" spans="1:36" ht="12.75" x14ac:dyDescent="0.2">
      <c r="A116" s="103"/>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03"/>
      <c r="AE116" s="103"/>
      <c r="AF116" s="77"/>
      <c r="AG116" s="77"/>
      <c r="AH116" s="77"/>
      <c r="AI116" s="77"/>
      <c r="AJ116" s="77"/>
    </row>
    <row r="117" spans="1:36" ht="12.75" x14ac:dyDescent="0.2">
      <c r="A117" s="103" t="s">
        <v>735</v>
      </c>
      <c r="B117" s="118">
        <f t="shared" ref="B117:C117" si="8">C117</f>
        <v>22.802215534460078</v>
      </c>
      <c r="C117" s="118">
        <f t="shared" si="8"/>
        <v>22.802215534460078</v>
      </c>
      <c r="D117" s="118">
        <f>((($B$100*C44+$B$99*(1-C44))*(1+($B$102*C74+$B$101*(1-C74))))+(($B$100*C44+$B$99*(1-C44))*$B$105*$B$106))*D110*(1-$B$104)</f>
        <v>22.802215534460078</v>
      </c>
      <c r="E117" s="118">
        <f t="shared" ref="E117:P117" si="9">((($B$100*D44+$B$99*(1-D44))*(1+($B$102*D74+$B$101*(1-D74))))+(($B$100*D44+$B$99*(1-D44))*$B$105*$B$106))*E110*(1-$B$104)</f>
        <v>22.932610942961524</v>
      </c>
      <c r="F117" s="118">
        <f t="shared" si="9"/>
        <v>23.063006351462974</v>
      </c>
      <c r="G117" s="118">
        <f t="shared" si="9"/>
        <v>23.058270922222079</v>
      </c>
      <c r="H117" s="118">
        <f t="shared" si="9"/>
        <v>23.054482578829365</v>
      </c>
      <c r="I117" s="118">
        <f>((($B$100*H44+$B$99*(1-H44))*(1+($B$102*H74+$B$101*(1-H74))))+(($B$100*H44+$B$99*(1-H44))*$B$105*$B$106))*I110*(1-$B$104)</f>
        <v>23.051383025144418</v>
      </c>
      <c r="J117" s="118">
        <f t="shared" si="9"/>
        <v>23.051383025144418</v>
      </c>
      <c r="K117" s="118">
        <f t="shared" si="9"/>
        <v>23.051383025144418</v>
      </c>
      <c r="L117" s="118">
        <f>((($B$100*K44+$B$99*(1-K44))*(1+($B$102*K74+$B$101*(1-K74))))+(($B$100*K44+$B$99*(1-K44))*$B$105*$B$106))*L110*(1-$B$104)</f>
        <v>23.051383025144418</v>
      </c>
      <c r="M117" s="118">
        <f>((($B$100*L44+$B$99*(1-L44))*(1+($B$102*L74+$B$101*(1-L74))))+(($B$100*L44+$B$99*(1-L44))*$B$105*$B$106))*M110*(1-$B$104)</f>
        <v>23.051383025144418</v>
      </c>
      <c r="N117" s="118">
        <f>((($B$100*M44+$B$99*(1-M44))*(1+($B$102*M74+$B$101*(1-M74))))+(($B$100*M44+$B$99*(1-M44))*$B$105*$B$106))*N110*(1-$B$104)</f>
        <v>23.051383025144418</v>
      </c>
      <c r="O117" s="118">
        <f t="shared" si="9"/>
        <v>23.051383025144418</v>
      </c>
      <c r="P117" s="118">
        <f t="shared" si="9"/>
        <v>23.051383025144418</v>
      </c>
      <c r="Q117" s="118">
        <f t="shared" ref="Q117" si="10">((($B$100*P44+$B$99*(1-P44))*(1+($B$102*P74+$B$101*(1-P74))))+(($B$100*P44+$B$99*(1-P44))*$B$105*$B$106))*Q110*(1-$B$104)</f>
        <v>23.051383025144418</v>
      </c>
      <c r="R117" s="118">
        <f t="shared" ref="R117" si="11">((($B$100*Q44+$B$99*(1-Q44))*(1+($B$102*Q74+$B$101*(1-Q74))))+(($B$100*Q44+$B$99*(1-Q44))*$B$105*$B$106))*R110*(1-$B$104)</f>
        <v>23.051383025144418</v>
      </c>
      <c r="S117" s="118">
        <f t="shared" ref="S117" si="12">((($B$100*R44+$B$99*(1-R44))*(1+($B$102*R74+$B$101*(1-R74))))+(($B$100*R44+$B$99*(1-R44))*$B$105*$B$106))*S110*(1-$B$104)</f>
        <v>23.051383025144418</v>
      </c>
      <c r="T117" s="118">
        <f t="shared" ref="T117" si="13">((($B$100*S44+$B$99*(1-S44))*(1+($B$102*S74+$B$101*(1-S74))))+(($B$100*S44+$B$99*(1-S44))*$B$105*$B$106))*T110*(1-$B$104)</f>
        <v>17.288537268858313</v>
      </c>
      <c r="U117" s="118">
        <f t="shared" ref="U117" si="14">((($B$100*T44+$B$99*(1-T44))*(1+($B$102*T74+$B$101*(1-T74))))+(($B$100*T44+$B$99*(1-T44))*$B$105*$B$106))*U110*(1-$B$104)</f>
        <v>11.525691512572209</v>
      </c>
      <c r="V117" s="118">
        <f t="shared" ref="V117" si="15">((($B$100*U44+$B$99*(1-U44))*(1+($B$102*U74+$B$101*(1-U74))))+(($B$100*U44+$B$99*(1-U44))*$B$105*$B$106))*V110*(1-$B$104)</f>
        <v>0</v>
      </c>
      <c r="W117" s="118">
        <f t="shared" ref="W117" si="16">((($B$100*V44+$B$99*(1-V44))*(1+($B$102*V74+$B$101*(1-V74))))+(($B$100*V44+$B$99*(1-V44))*$B$105*$B$106))*W110*(1-$B$104)</f>
        <v>0</v>
      </c>
      <c r="X117" s="118">
        <f t="shared" ref="X117" si="17">((($B$100*W44+$B$99*(1-W44))*(1+($B$102*W74+$B$101*(1-W74))))+(($B$100*W44+$B$99*(1-W44))*$B$105*$B$106))*X110*(1-$B$104)</f>
        <v>0</v>
      </c>
      <c r="Y117" s="118">
        <f t="shared" ref="Y117" si="18">((($B$100*X44+$B$99*(1-X44))*(1+($B$102*X74+$B$101*(1-X74))))+(($B$100*X44+$B$99*(1-X44))*$B$105*$B$106))*Y110*(1-$B$104)</f>
        <v>0</v>
      </c>
      <c r="Z117" s="118">
        <f t="shared" ref="Z117" si="19">((($B$100*Y44+$B$99*(1-Y44))*(1+($B$102*Y74+$B$101*(1-Y74))))+(($B$100*Y44+$B$99*(1-Y44))*$B$105*$B$106))*Z110*(1-$B$104)</f>
        <v>0</v>
      </c>
      <c r="AA117" s="118">
        <f t="shared" ref="AA117" si="20">((($B$100*Z44+$B$99*(1-Z44))*(1+($B$102*Z74+$B$101*(1-Z74))))+(($B$100*Z44+$B$99*(1-Z44))*$B$105*$B$106))*AA110*(1-$B$104)</f>
        <v>0</v>
      </c>
      <c r="AB117" s="118">
        <f t="shared" ref="AB117" si="21">((($B$100*AA44+$B$99*(1-AA44))*(1+($B$102*AA74+$B$101*(1-AA74))))+(($B$100*AA44+$B$99*(1-AA44))*$B$105*$B$106))*AB110*(1-$B$104)</f>
        <v>0</v>
      </c>
      <c r="AC117" s="118">
        <f t="shared" ref="AC117" si="22">((($B$100*AB44+$B$99*(1-AB44))*(1+($B$102*AB74+$B$101*(1-AB74))))+(($B$100*AB44+$B$99*(1-AB44))*$B$105*$B$106))*AC110*(1-$B$104)</f>
        <v>0</v>
      </c>
      <c r="AD117" s="103"/>
      <c r="AE117" s="103"/>
      <c r="AF117" s="77"/>
      <c r="AG117" s="77"/>
      <c r="AH117" s="77"/>
      <c r="AI117" s="77"/>
      <c r="AJ117" s="77"/>
    </row>
    <row r="118" spans="1:36" ht="12.75" x14ac:dyDescent="0.2">
      <c r="A118" s="103" t="s">
        <v>736</v>
      </c>
      <c r="B118" s="118">
        <f>B117*B$95*(1-$B$104)</f>
        <v>17.156282454803549</v>
      </c>
      <c r="C118" s="118">
        <f t="shared" ref="C118:AC118" si="23">C117*C$95*(1-$B$104)</f>
        <v>17.192163919864438</v>
      </c>
      <c r="D118" s="118">
        <f t="shared" si="23"/>
        <v>17.209001326101614</v>
      </c>
      <c r="E118" s="118">
        <f t="shared" si="23"/>
        <v>17.325277467574079</v>
      </c>
      <c r="F118" s="118">
        <f t="shared" si="23"/>
        <v>17.44277368398911</v>
      </c>
      <c r="G118" s="118">
        <f t="shared" si="23"/>
        <v>17.45927805026535</v>
      </c>
      <c r="H118" s="118">
        <f t="shared" si="23"/>
        <v>17.477696778651403</v>
      </c>
      <c r="I118" s="118">
        <f t="shared" si="23"/>
        <v>17.497947473938165</v>
      </c>
      <c r="J118" s="118">
        <f t="shared" si="23"/>
        <v>17.521989968890971</v>
      </c>
      <c r="K118" s="118">
        <f t="shared" si="23"/>
        <v>17.54761689853126</v>
      </c>
      <c r="L118" s="118">
        <f t="shared" si="23"/>
        <v>17.57499004985219</v>
      </c>
      <c r="M118" s="118">
        <f t="shared" si="23"/>
        <v>17.604293981227542</v>
      </c>
      <c r="N118" s="118">
        <f t="shared" si="23"/>
        <v>17.635740168850454</v>
      </c>
      <c r="O118" s="118">
        <f t="shared" si="23"/>
        <v>17.64624626642831</v>
      </c>
      <c r="P118" s="118">
        <f t="shared" si="23"/>
        <v>17.65699862280611</v>
      </c>
      <c r="Q118" s="118">
        <f t="shared" si="23"/>
        <v>17.668005985199258</v>
      </c>
      <c r="R118" s="118">
        <f t="shared" si="23"/>
        <v>17.679277519369499</v>
      </c>
      <c r="S118" s="118">
        <f t="shared" si="23"/>
        <v>17.690822834919793</v>
      </c>
      <c r="T118" s="118">
        <f t="shared" si="23"/>
        <v>13.276989009329247</v>
      </c>
      <c r="U118" s="118">
        <f t="shared" si="23"/>
        <v>8.8573878163319986</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03"/>
      <c r="AE118" s="103"/>
      <c r="AF118" s="77"/>
      <c r="AG118" s="77"/>
      <c r="AH118" s="77"/>
      <c r="AI118" s="77"/>
      <c r="AJ118" s="77"/>
    </row>
    <row r="119" spans="1:36" ht="12.75" x14ac:dyDescent="0.2">
      <c r="A119" s="103" t="s">
        <v>737</v>
      </c>
      <c r="B119" s="119">
        <f>B118*$B$90</f>
        <v>15.219521248819278</v>
      </c>
      <c r="C119" s="119">
        <f t="shared" ref="C119:AC119" si="24">C118*$B$90</f>
        <v>15.251352079383627</v>
      </c>
      <c r="D119" s="119">
        <f t="shared" si="24"/>
        <v>15.266288722136904</v>
      </c>
      <c r="E119" s="119">
        <f t="shared" si="24"/>
        <v>15.369438528077259</v>
      </c>
      <c r="F119" s="119">
        <f t="shared" si="24"/>
        <v>15.473670675519186</v>
      </c>
      <c r="G119" s="119">
        <f t="shared" si="24"/>
        <v>15.488311874969083</v>
      </c>
      <c r="H119" s="119">
        <f t="shared" si="24"/>
        <v>15.504651325475697</v>
      </c>
      <c r="I119" s="120">
        <f t="shared" si="24"/>
        <v>15.522615933369755</v>
      </c>
      <c r="J119" s="120">
        <f t="shared" si="24"/>
        <v>15.543944287211726</v>
      </c>
      <c r="K119" s="120">
        <f t="shared" si="24"/>
        <v>15.566678209973249</v>
      </c>
      <c r="L119" s="120">
        <f t="shared" si="24"/>
        <v>15.590961224622461</v>
      </c>
      <c r="M119" s="120">
        <f t="shared" si="24"/>
        <v>15.616957054862262</v>
      </c>
      <c r="N119" s="120">
        <f t="shared" si="24"/>
        <v>15.644853303480344</v>
      </c>
      <c r="O119" s="120">
        <f t="shared" si="24"/>
        <v>15.654173374757416</v>
      </c>
      <c r="P119" s="120">
        <f t="shared" si="24"/>
        <v>15.663711904843868</v>
      </c>
      <c r="Q119" s="120">
        <f t="shared" si="24"/>
        <v>15.67347665348783</v>
      </c>
      <c r="R119" s="118">
        <f>R118*$B$90</f>
        <v>15.68347575173436</v>
      </c>
      <c r="S119" s="118">
        <f t="shared" si="24"/>
        <v>15.693717724364788</v>
      </c>
      <c r="T119" s="118">
        <f t="shared" si="24"/>
        <v>11.778158635482802</v>
      </c>
      <c r="U119" s="118">
        <f t="shared" si="24"/>
        <v>7.8574832534279029</v>
      </c>
      <c r="V119" s="118">
        <f t="shared" si="24"/>
        <v>0</v>
      </c>
      <c r="W119" s="118">
        <f t="shared" si="24"/>
        <v>0</v>
      </c>
      <c r="X119" s="118">
        <f t="shared" si="24"/>
        <v>0</v>
      </c>
      <c r="Y119" s="118">
        <f t="shared" si="24"/>
        <v>0</v>
      </c>
      <c r="Z119" s="118">
        <f t="shared" si="24"/>
        <v>0</v>
      </c>
      <c r="AA119" s="118">
        <f t="shared" si="24"/>
        <v>0</v>
      </c>
      <c r="AB119" s="118">
        <f t="shared" si="24"/>
        <v>0</v>
      </c>
      <c r="AC119" s="118">
        <f t="shared" si="24"/>
        <v>0</v>
      </c>
      <c r="AD119" s="103"/>
      <c r="AE119" s="103"/>
      <c r="AF119" s="77"/>
      <c r="AG119" s="77"/>
      <c r="AH119" s="77"/>
      <c r="AI119" s="77"/>
      <c r="AJ119" s="77"/>
    </row>
    <row r="120" spans="1:36" ht="12.75" x14ac:dyDescent="0.2">
      <c r="A120" s="103" t="s">
        <v>738</v>
      </c>
      <c r="B120" s="119"/>
      <c r="C120" s="119"/>
      <c r="D120" s="119"/>
      <c r="E120" s="119"/>
      <c r="F120" s="119"/>
      <c r="G120" s="119"/>
      <c r="H120" s="119"/>
      <c r="I120" s="120"/>
      <c r="J120" s="120"/>
      <c r="K120" s="120"/>
      <c r="L120" s="120"/>
      <c r="M120" s="120"/>
      <c r="N120" s="120"/>
      <c r="O120" s="120"/>
      <c r="P120" s="120"/>
      <c r="Q120" s="120"/>
      <c r="R120" s="118"/>
      <c r="S120" s="118"/>
      <c r="T120" s="118"/>
      <c r="U120" s="118"/>
      <c r="V120" s="118"/>
      <c r="W120" s="118"/>
      <c r="X120" s="118"/>
      <c r="Y120" s="118"/>
      <c r="Z120" s="118"/>
      <c r="AA120" s="118"/>
      <c r="AB120" s="118"/>
      <c r="AC120" s="118"/>
      <c r="AD120" s="103"/>
      <c r="AE120" s="103"/>
      <c r="AF120" s="77"/>
      <c r="AG120" s="77"/>
      <c r="AH120" s="77"/>
      <c r="AI120" s="77"/>
      <c r="AJ120" s="77"/>
    </row>
    <row r="121" spans="1:36" ht="12.75" x14ac:dyDescent="0.2">
      <c r="A121" s="103"/>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03"/>
      <c r="AE121" s="103"/>
      <c r="AF121" s="77"/>
      <c r="AG121" s="77"/>
      <c r="AH121" s="77"/>
      <c r="AI121" s="77"/>
      <c r="AJ121" s="77"/>
    </row>
    <row r="122" spans="1:36" ht="12.75" x14ac:dyDescent="0.2">
      <c r="A122" s="103" t="s">
        <v>739</v>
      </c>
      <c r="B122" s="118">
        <f t="shared" ref="B122:C122" si="25">C122</f>
        <v>23.620381171332561</v>
      </c>
      <c r="C122" s="118">
        <f t="shared" si="25"/>
        <v>23.620381171332561</v>
      </c>
      <c r="D122" s="118">
        <f>((($B$100*C44+$B$99*(1-C44))*(1+($B$102*C76+$B$101*(1-C76))))+(($B$100*C44+$B$99*(1-C44))*$B$105*$B$106))*D110*(1-$B$104)</f>
        <v>23.620381171332561</v>
      </c>
      <c r="E122" s="118">
        <f t="shared" ref="E122:Q122" si="26">((($B$100*D44+$B$99*(1-D44))*(1+($B$102*D76+$B$101*(1-D76))))+(($B$100*D44+$B$99*(1-D44))*$B$105*$B$106))*E110*(1-$B$104)</f>
        <v>23.620381171332561</v>
      </c>
      <c r="F122" s="118">
        <f t="shared" si="26"/>
        <v>23.620381171332561</v>
      </c>
      <c r="G122" s="118">
        <f t="shared" si="26"/>
        <v>23.620381171332561</v>
      </c>
      <c r="H122" s="118">
        <f t="shared" si="26"/>
        <v>23.620381171332561</v>
      </c>
      <c r="I122" s="118">
        <f t="shared" si="26"/>
        <v>23.620381171332561</v>
      </c>
      <c r="J122" s="118">
        <f t="shared" si="26"/>
        <v>23.620381171332561</v>
      </c>
      <c r="K122" s="118">
        <f t="shared" si="26"/>
        <v>23.620381171332561</v>
      </c>
      <c r="L122" s="118">
        <f>((($B$100*K44+$B$99*(1-K44))*(1+($B$102*K76+$B$101*(1-K76))))+(($B$100*K44+$B$99*(1-K44))*$B$105*$B$106))*L110*(1-$B$104)</f>
        <v>23.620381171332561</v>
      </c>
      <c r="M122" s="118">
        <f>((($B$100*L44+$B$99*(1-L44))*(1+($B$102*L76+$B$101*(1-L76))))+(($B$100*L44+$B$99*(1-L44))*$B$105*$B$106))*M110*(1-$B$104)</f>
        <v>23.620381171332561</v>
      </c>
      <c r="N122" s="118">
        <f>((($B$100*M44+$B$99*(1-M44))*(1+($B$102*M76+$B$101*(1-M76))))+(($B$100*M44+$B$99*(1-M44))*$B$105*$B$106))*N110*(1-$B$104)</f>
        <v>23.620381171332561</v>
      </c>
      <c r="O122" s="118">
        <f t="shared" si="26"/>
        <v>23.620381171332561</v>
      </c>
      <c r="P122" s="118">
        <f t="shared" si="26"/>
        <v>23.620381171332561</v>
      </c>
      <c r="Q122" s="118">
        <f t="shared" si="26"/>
        <v>23.620381171332561</v>
      </c>
      <c r="R122" s="118">
        <f t="shared" ref="R122:AC122" si="27">((($B$100*Q44+$B$99*(1-Q44))*(1+($B$102*Q76+$B$101*(1-Q76))))+(($B$100*Q44+$B$99*(1-Q44))*$B$105*$B$106))*R110*(1-P104)</f>
        <v>25.535547212251416</v>
      </c>
      <c r="S122" s="118">
        <f t="shared" si="27"/>
        <v>25.535547212251416</v>
      </c>
      <c r="T122" s="118">
        <f t="shared" si="27"/>
        <v>19.151660409188562</v>
      </c>
      <c r="U122" s="118">
        <f t="shared" si="27"/>
        <v>12.767773606125708</v>
      </c>
      <c r="V122" s="118">
        <f t="shared" si="27"/>
        <v>0</v>
      </c>
      <c r="W122" s="118">
        <f t="shared" si="27"/>
        <v>0</v>
      </c>
      <c r="X122" s="118">
        <f t="shared" si="27"/>
        <v>0</v>
      </c>
      <c r="Y122" s="118">
        <f t="shared" si="27"/>
        <v>0</v>
      </c>
      <c r="Z122" s="118">
        <f t="shared" si="27"/>
        <v>0</v>
      </c>
      <c r="AA122" s="118">
        <f t="shared" si="27"/>
        <v>0</v>
      </c>
      <c r="AB122" s="118">
        <f t="shared" si="27"/>
        <v>0</v>
      </c>
      <c r="AC122" s="118">
        <f t="shared" si="27"/>
        <v>0</v>
      </c>
      <c r="AD122" s="103"/>
      <c r="AE122" s="103"/>
      <c r="AF122" s="77"/>
      <c r="AG122" s="77"/>
      <c r="AH122" s="77"/>
      <c r="AI122" s="77"/>
      <c r="AJ122" s="77"/>
    </row>
    <row r="123" spans="1:36" ht="12.75" x14ac:dyDescent="0.2">
      <c r="A123" s="103" t="s">
        <v>740</v>
      </c>
      <c r="B123" s="118">
        <f>B122*$B$96*(1-$B$104)</f>
        <v>18.464045540966026</v>
      </c>
      <c r="C123" s="118">
        <f t="shared" ref="C123" si="28">C122*$B$96*(1-$B$104)</f>
        <v>18.464045540966026</v>
      </c>
      <c r="D123" s="118">
        <f t="shared" ref="D123" si="29">D122*$B$96*(1-$B$104)</f>
        <v>18.464045540966026</v>
      </c>
      <c r="E123" s="118">
        <f t="shared" ref="E123" si="30">E122*$B$96*(1-$B$104)</f>
        <v>18.464045540966026</v>
      </c>
      <c r="F123" s="118">
        <f t="shared" ref="F123" si="31">F122*$B$96*(1-$B$104)</f>
        <v>18.464045540966026</v>
      </c>
      <c r="G123" s="118">
        <f t="shared" ref="G123" si="32">G122*$B$96*(1-$B$104)</f>
        <v>18.464045540966026</v>
      </c>
      <c r="H123" s="118">
        <f t="shared" ref="H123" si="33">H122*$B$96*(1-$B$104)</f>
        <v>18.464045540966026</v>
      </c>
      <c r="I123" s="118">
        <f t="shared" ref="I123" si="34">I122*$B$96*(1-$B$104)</f>
        <v>18.464045540966026</v>
      </c>
      <c r="J123" s="118">
        <f t="shared" ref="J123" si="35">J122*$B$96*(1-$B$104)</f>
        <v>18.464045540966026</v>
      </c>
      <c r="K123" s="118">
        <f t="shared" ref="K123" si="36">K122*$B$96*(1-$B$104)</f>
        <v>18.464045540966026</v>
      </c>
      <c r="L123" s="118">
        <f t="shared" ref="L123" si="37">L122*$B$96*(1-$B$104)</f>
        <v>18.464045540966026</v>
      </c>
      <c r="M123" s="118">
        <f t="shared" ref="M123" si="38">M122*$B$96*(1-$B$104)</f>
        <v>18.464045540966026</v>
      </c>
      <c r="N123" s="118">
        <f t="shared" ref="N123" si="39">N122*$B$96*(1-$B$104)</f>
        <v>18.464045540966026</v>
      </c>
      <c r="O123" s="118">
        <f t="shared" ref="O123" si="40">O122*$B$96*(1-$B$104)</f>
        <v>18.464045540966026</v>
      </c>
      <c r="P123" s="118">
        <f t="shared" ref="P123" si="41">P122*$B$96*(1-$B$104)</f>
        <v>18.464045540966026</v>
      </c>
      <c r="Q123" s="118">
        <f t="shared" ref="Q123" si="42">Q122*$B$96*(1-$B$104)</f>
        <v>18.464045540966026</v>
      </c>
      <c r="R123" s="118">
        <f t="shared" ref="R123" si="43">R122*$B$96*(1-$B$104)</f>
        <v>19.961130314557867</v>
      </c>
      <c r="S123" s="118">
        <f t="shared" ref="S123" si="44">S122*$B$96*(1-$B$104)</f>
        <v>19.961130314557867</v>
      </c>
      <c r="T123" s="118">
        <f t="shared" ref="T123" si="45">T122*$B$96*(1-$B$104)</f>
        <v>14.970847735918401</v>
      </c>
      <c r="U123" s="118">
        <f t="shared" ref="U123" si="46">U122*$B$96*(1-$B$104)</f>
        <v>9.9805651572789333</v>
      </c>
      <c r="V123" s="118">
        <f t="shared" ref="V123" si="47">V122*$B$96*(1-$B$104)</f>
        <v>0</v>
      </c>
      <c r="W123" s="118">
        <f t="shared" ref="W123" si="48">W122*$B$96*(1-$B$104)</f>
        <v>0</v>
      </c>
      <c r="X123" s="118">
        <f t="shared" ref="X123" si="49">X122*$B$96*(1-$B$104)</f>
        <v>0</v>
      </c>
      <c r="Y123" s="118">
        <f t="shared" ref="Y123" si="50">Y122*$B$96*(1-$B$104)</f>
        <v>0</v>
      </c>
      <c r="Z123" s="118">
        <f t="shared" ref="Z123" si="51">Z122*$B$96*(1-$B$104)</f>
        <v>0</v>
      </c>
      <c r="AA123" s="118">
        <f t="shared" ref="AA123" si="52">AA122*$B$96*(1-$B$104)</f>
        <v>0</v>
      </c>
      <c r="AB123" s="118">
        <f t="shared" ref="AB123" si="53">AB122*$B$96*(1-$B$104)</f>
        <v>0</v>
      </c>
      <c r="AC123" s="118">
        <f t="shared" ref="AC123" si="54">AC122*$B$96*(1-$B$104)</f>
        <v>0</v>
      </c>
      <c r="AD123" s="103"/>
      <c r="AE123" s="103"/>
      <c r="AF123" s="77"/>
      <c r="AG123" s="77"/>
      <c r="AH123" s="77"/>
      <c r="AI123" s="77"/>
      <c r="AJ123" s="77"/>
    </row>
    <row r="124" spans="1:36" ht="12.75" x14ac:dyDescent="0.2">
      <c r="A124" s="103" t="s">
        <v>741</v>
      </c>
      <c r="B124" s="118">
        <f>B123*$B$90</f>
        <v>16.379651838339772</v>
      </c>
      <c r="C124" s="118">
        <f t="shared" ref="C124:AC124" si="55">C123*$B$90</f>
        <v>16.379651838339772</v>
      </c>
      <c r="D124" s="118">
        <f t="shared" si="55"/>
        <v>16.379651838339772</v>
      </c>
      <c r="E124" s="118">
        <f t="shared" si="55"/>
        <v>16.379651838339772</v>
      </c>
      <c r="F124" s="118">
        <f t="shared" si="55"/>
        <v>16.379651838339772</v>
      </c>
      <c r="G124" s="118">
        <f t="shared" si="55"/>
        <v>16.379651838339772</v>
      </c>
      <c r="H124" s="118">
        <f t="shared" si="55"/>
        <v>16.379651838339772</v>
      </c>
      <c r="I124" s="118">
        <f t="shared" si="55"/>
        <v>16.379651838339772</v>
      </c>
      <c r="J124" s="118">
        <f t="shared" si="55"/>
        <v>16.379651838339772</v>
      </c>
      <c r="K124" s="118">
        <f t="shared" si="55"/>
        <v>16.379651838339772</v>
      </c>
      <c r="L124" s="118">
        <f t="shared" si="55"/>
        <v>16.379651838339772</v>
      </c>
      <c r="M124" s="118">
        <f t="shared" si="55"/>
        <v>16.379651838339772</v>
      </c>
      <c r="N124" s="118">
        <f t="shared" si="55"/>
        <v>16.379651838339772</v>
      </c>
      <c r="O124" s="118">
        <f t="shared" si="55"/>
        <v>16.379651838339772</v>
      </c>
      <c r="P124" s="118">
        <f t="shared" si="55"/>
        <v>16.379651838339772</v>
      </c>
      <c r="Q124" s="118">
        <f t="shared" si="55"/>
        <v>16.379651838339772</v>
      </c>
      <c r="R124" s="118">
        <f t="shared" si="55"/>
        <v>17.707731717124076</v>
      </c>
      <c r="S124" s="118">
        <f t="shared" si="55"/>
        <v>17.707731717124076</v>
      </c>
      <c r="T124" s="118">
        <f t="shared" si="55"/>
        <v>13.280798787843057</v>
      </c>
      <c r="U124" s="118">
        <f t="shared" si="55"/>
        <v>8.8538658585620382</v>
      </c>
      <c r="V124" s="118">
        <f t="shared" si="55"/>
        <v>0</v>
      </c>
      <c r="W124" s="118">
        <f t="shared" si="55"/>
        <v>0</v>
      </c>
      <c r="X124" s="118">
        <f t="shared" si="55"/>
        <v>0</v>
      </c>
      <c r="Y124" s="118">
        <f t="shared" si="55"/>
        <v>0</v>
      </c>
      <c r="Z124" s="118">
        <f t="shared" si="55"/>
        <v>0</v>
      </c>
      <c r="AA124" s="118">
        <f t="shared" si="55"/>
        <v>0</v>
      </c>
      <c r="AB124" s="118">
        <f t="shared" si="55"/>
        <v>0</v>
      </c>
      <c r="AC124" s="118">
        <f t="shared" si="55"/>
        <v>0</v>
      </c>
      <c r="AD124" s="103"/>
      <c r="AE124" s="103"/>
      <c r="AF124" s="77"/>
      <c r="AG124" s="77"/>
      <c r="AH124" s="77"/>
      <c r="AI124" s="77"/>
      <c r="AJ124" s="77"/>
    </row>
    <row r="125" spans="1:36" ht="12.75" x14ac:dyDescent="0.2">
      <c r="A125" s="103"/>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03"/>
      <c r="AE125" s="103"/>
      <c r="AF125" s="77"/>
      <c r="AG125" s="77"/>
      <c r="AH125" s="77"/>
      <c r="AI125" s="77"/>
      <c r="AJ125" s="77"/>
    </row>
    <row r="126" spans="1:36" ht="12.75" x14ac:dyDescent="0.2">
      <c r="A126" s="103" t="s">
        <v>742</v>
      </c>
      <c r="B126" s="118">
        <f t="shared" ref="B126:C126" si="56">C126</f>
        <v>23.620381171332561</v>
      </c>
      <c r="C126" s="118">
        <f t="shared" si="56"/>
        <v>23.620381171332561</v>
      </c>
      <c r="D126" s="118">
        <f>((($B$100*C44+$B$99*(1-C44))*(1+($B$102*C76+$B$101*(1-C76))))+(($B$100*C44+$B$99*(1-C44))*$B$105*$B$106))*D110*(1-$B$104)</f>
        <v>23.620381171332561</v>
      </c>
      <c r="E126" s="118">
        <f t="shared" ref="E126:P126" si="57">((($B$100*D44+$B$99*(1-D44))*(1+($B$102*D76+$B$101*(1-D76))))+(($B$100*D44+$B$99*(1-D44))*$B$105*$B$106))*E110*(1-$B$104)</f>
        <v>23.620381171332561</v>
      </c>
      <c r="F126" s="118">
        <f t="shared" si="57"/>
        <v>23.620381171332561</v>
      </c>
      <c r="G126" s="118">
        <f t="shared" si="57"/>
        <v>23.620381171332561</v>
      </c>
      <c r="H126" s="118">
        <f t="shared" si="57"/>
        <v>23.620381171332561</v>
      </c>
      <c r="I126" s="118">
        <f t="shared" si="57"/>
        <v>23.620381171332561</v>
      </c>
      <c r="J126" s="118">
        <f t="shared" si="57"/>
        <v>23.620381171332561</v>
      </c>
      <c r="K126" s="118">
        <f t="shared" si="57"/>
        <v>23.620381171332561</v>
      </c>
      <c r="L126" s="118">
        <f>((($B$100*K44+$B$99*(1-K44))*(1+($B$102*K76+$B$101*(1-K76))))+(($B$100*K44+$B$99*(1-K44))*$B$105*$B$106))*L110*(1-$B$104)</f>
        <v>23.620381171332561</v>
      </c>
      <c r="M126" s="118">
        <f>((($B$100*L44+$B$99*(1-L44))*(1+($B$102*L76+$B$101*(1-L76))))+(($B$100*L44+$B$99*(1-L44))*$B$105*$B$106))*M110*(1-$B$104)</f>
        <v>23.620381171332561</v>
      </c>
      <c r="N126" s="118">
        <f>((($B$100*M44+$B$99*(1-M44))*(1+($B$102*M76+$B$101*(1-M76))))+(($B$100*M44+$B$99*(1-M44))*$B$105*$B$106))*N110*(1-$B$104)</f>
        <v>23.620381171332561</v>
      </c>
      <c r="O126" s="118">
        <f t="shared" si="57"/>
        <v>23.620381171332561</v>
      </c>
      <c r="P126" s="118">
        <f t="shared" si="57"/>
        <v>23.620381171332561</v>
      </c>
      <c r="Q126" s="118">
        <f>((($B$100*P44+$B$99*(1-P44))*(1+($B$102*P76+$B$101*(1-P76))))+(($B$100*P44+$B$99*(1-P44))*$B$105*$B$106))*Q110*(1-$B$104)</f>
        <v>23.620381171332561</v>
      </c>
      <c r="R126" s="118">
        <f t="shared" ref="R126:AC126" si="58">((($B$100*Q44+$B$99*(1-Q44))*(1+($B$102*Q76+$B$101*(1-Q76))))+(($B$100*Q44+$B$99*(1-Q44))*$B$105*$B$106))*R110*(1-P104)</f>
        <v>25.535547212251416</v>
      </c>
      <c r="S126" s="118">
        <f t="shared" si="58"/>
        <v>25.535547212251416</v>
      </c>
      <c r="T126" s="118">
        <f t="shared" si="58"/>
        <v>19.151660409188562</v>
      </c>
      <c r="U126" s="118">
        <f t="shared" si="58"/>
        <v>12.767773606125708</v>
      </c>
      <c r="V126" s="118">
        <f t="shared" si="58"/>
        <v>0</v>
      </c>
      <c r="W126" s="118">
        <f t="shared" si="58"/>
        <v>0</v>
      </c>
      <c r="X126" s="118">
        <f t="shared" si="58"/>
        <v>0</v>
      </c>
      <c r="Y126" s="118">
        <f t="shared" si="58"/>
        <v>0</v>
      </c>
      <c r="Z126" s="118">
        <f t="shared" si="58"/>
        <v>0</v>
      </c>
      <c r="AA126" s="118">
        <f t="shared" si="58"/>
        <v>0</v>
      </c>
      <c r="AB126" s="118">
        <f t="shared" si="58"/>
        <v>0</v>
      </c>
      <c r="AC126" s="118">
        <f t="shared" si="58"/>
        <v>0</v>
      </c>
      <c r="AD126" s="103"/>
      <c r="AE126" s="103"/>
      <c r="AF126" s="77"/>
      <c r="AG126" s="77"/>
      <c r="AH126" s="77"/>
      <c r="AI126" s="77"/>
      <c r="AJ126" s="77"/>
    </row>
    <row r="127" spans="1:36" ht="12.75" x14ac:dyDescent="0.2">
      <c r="A127" s="103" t="s">
        <v>743</v>
      </c>
      <c r="B127" s="118">
        <f>B126*$B$96*(1-$B$104)</f>
        <v>18.464045540966026</v>
      </c>
      <c r="C127" s="118">
        <f t="shared" ref="C127" si="59">C126*$B$96*(1-$B$104)</f>
        <v>18.464045540966026</v>
      </c>
      <c r="D127" s="118">
        <f t="shared" ref="D127" si="60">D126*$B$96*(1-$B$104)</f>
        <v>18.464045540966026</v>
      </c>
      <c r="E127" s="118">
        <f t="shared" ref="E127" si="61">E126*$B$96*(1-$B$104)</f>
        <v>18.464045540966026</v>
      </c>
      <c r="F127" s="118">
        <f t="shared" ref="F127" si="62">F126*$B$96*(1-$B$104)</f>
        <v>18.464045540966026</v>
      </c>
      <c r="G127" s="118">
        <f t="shared" ref="G127" si="63">G126*$B$96*(1-$B$104)</f>
        <v>18.464045540966026</v>
      </c>
      <c r="H127" s="118">
        <f t="shared" ref="H127" si="64">H126*$B$96*(1-$B$104)</f>
        <v>18.464045540966026</v>
      </c>
      <c r="I127" s="118">
        <f t="shared" ref="I127" si="65">I126*$B$96*(1-$B$104)</f>
        <v>18.464045540966026</v>
      </c>
      <c r="J127" s="118">
        <f t="shared" ref="J127" si="66">J126*$B$96*(1-$B$104)</f>
        <v>18.464045540966026</v>
      </c>
      <c r="K127" s="118">
        <f t="shared" ref="K127" si="67">K126*$B$96*(1-$B$104)</f>
        <v>18.464045540966026</v>
      </c>
      <c r="L127" s="118">
        <f t="shared" ref="L127" si="68">L126*$B$96*(1-$B$104)</f>
        <v>18.464045540966026</v>
      </c>
      <c r="M127" s="118">
        <f t="shared" ref="M127" si="69">M126*$B$96*(1-$B$104)</f>
        <v>18.464045540966026</v>
      </c>
      <c r="N127" s="118">
        <f t="shared" ref="N127" si="70">N126*$B$96*(1-$B$104)</f>
        <v>18.464045540966026</v>
      </c>
      <c r="O127" s="118">
        <f t="shared" ref="O127" si="71">O126*$B$96*(1-$B$104)</f>
        <v>18.464045540966026</v>
      </c>
      <c r="P127" s="118">
        <f t="shared" ref="P127" si="72">P126*$B$96*(1-$B$104)</f>
        <v>18.464045540966026</v>
      </c>
      <c r="Q127" s="118">
        <f t="shared" ref="Q127" si="73">Q126*$B$96*(1-$B$104)</f>
        <v>18.464045540966026</v>
      </c>
      <c r="R127" s="118">
        <f t="shared" ref="R127" si="74">R126*$B$96*(1-$B$104)</f>
        <v>19.961130314557867</v>
      </c>
      <c r="S127" s="118">
        <f t="shared" ref="S127" si="75">S126*$B$96*(1-$B$104)</f>
        <v>19.961130314557867</v>
      </c>
      <c r="T127" s="118">
        <f t="shared" ref="T127" si="76">T126*$B$96*(1-$B$104)</f>
        <v>14.970847735918401</v>
      </c>
      <c r="U127" s="118">
        <f t="shared" ref="U127" si="77">U126*$B$96*(1-$B$104)</f>
        <v>9.9805651572789333</v>
      </c>
      <c r="V127" s="118">
        <f t="shared" ref="V127" si="78">V126*$B$96*(1-$B$104)</f>
        <v>0</v>
      </c>
      <c r="W127" s="118">
        <f t="shared" ref="W127" si="79">W126*$B$96*(1-$B$104)</f>
        <v>0</v>
      </c>
      <c r="X127" s="118">
        <f t="shared" ref="X127" si="80">X126*$B$96*(1-$B$104)</f>
        <v>0</v>
      </c>
      <c r="Y127" s="118">
        <f t="shared" ref="Y127" si="81">Y126*$B$96*(1-$B$104)</f>
        <v>0</v>
      </c>
      <c r="Z127" s="118">
        <f t="shared" ref="Z127" si="82">Z126*$B$96*(1-$B$104)</f>
        <v>0</v>
      </c>
      <c r="AA127" s="118">
        <f t="shared" ref="AA127" si="83">AA126*$B$96*(1-$B$104)</f>
        <v>0</v>
      </c>
      <c r="AB127" s="118">
        <f t="shared" ref="AB127" si="84">AB126*$B$96*(1-$B$104)</f>
        <v>0</v>
      </c>
      <c r="AC127" s="118">
        <f t="shared" ref="AC127" si="85">AC126*$B$96*(1-$B$104)</f>
        <v>0</v>
      </c>
      <c r="AD127" s="103"/>
      <c r="AE127" s="103"/>
      <c r="AF127" s="77"/>
      <c r="AG127" s="77"/>
      <c r="AH127" s="77"/>
      <c r="AI127" s="77"/>
      <c r="AJ127" s="77"/>
    </row>
    <row r="128" spans="1:36" ht="12.75" x14ac:dyDescent="0.2">
      <c r="A128" s="103" t="s">
        <v>744</v>
      </c>
      <c r="B128" s="118">
        <f>B127*$B$90</f>
        <v>16.379651838339772</v>
      </c>
      <c r="C128" s="118">
        <f t="shared" ref="C128:AC128" si="86">C127*$B$90</f>
        <v>16.379651838339772</v>
      </c>
      <c r="D128" s="118">
        <f t="shared" si="86"/>
        <v>16.379651838339772</v>
      </c>
      <c r="E128" s="118">
        <f t="shared" si="86"/>
        <v>16.379651838339772</v>
      </c>
      <c r="F128" s="118">
        <f t="shared" si="86"/>
        <v>16.379651838339772</v>
      </c>
      <c r="G128" s="118">
        <f t="shared" si="86"/>
        <v>16.379651838339772</v>
      </c>
      <c r="H128" s="118">
        <f t="shared" si="86"/>
        <v>16.379651838339772</v>
      </c>
      <c r="I128" s="118">
        <f t="shared" si="86"/>
        <v>16.379651838339772</v>
      </c>
      <c r="J128" s="118">
        <f t="shared" si="86"/>
        <v>16.379651838339772</v>
      </c>
      <c r="K128" s="118">
        <f t="shared" si="86"/>
        <v>16.379651838339772</v>
      </c>
      <c r="L128" s="118">
        <f t="shared" si="86"/>
        <v>16.379651838339772</v>
      </c>
      <c r="M128" s="118">
        <f t="shared" si="86"/>
        <v>16.379651838339772</v>
      </c>
      <c r="N128" s="118">
        <f t="shared" si="86"/>
        <v>16.379651838339772</v>
      </c>
      <c r="O128" s="118">
        <f t="shared" si="86"/>
        <v>16.379651838339772</v>
      </c>
      <c r="P128" s="118">
        <f t="shared" si="86"/>
        <v>16.379651838339772</v>
      </c>
      <c r="Q128" s="118">
        <f t="shared" si="86"/>
        <v>16.379651838339772</v>
      </c>
      <c r="R128" s="118">
        <f t="shared" si="86"/>
        <v>17.707731717124076</v>
      </c>
      <c r="S128" s="118">
        <f t="shared" si="86"/>
        <v>17.707731717124076</v>
      </c>
      <c r="T128" s="118">
        <f t="shared" si="86"/>
        <v>13.280798787843057</v>
      </c>
      <c r="U128" s="118">
        <f t="shared" si="86"/>
        <v>8.8538658585620382</v>
      </c>
      <c r="V128" s="118">
        <f t="shared" si="86"/>
        <v>0</v>
      </c>
      <c r="W128" s="118">
        <f t="shared" si="86"/>
        <v>0</v>
      </c>
      <c r="X128" s="118">
        <f t="shared" si="86"/>
        <v>0</v>
      </c>
      <c r="Y128" s="118">
        <f t="shared" si="86"/>
        <v>0</v>
      </c>
      <c r="Z128" s="118">
        <f t="shared" si="86"/>
        <v>0</v>
      </c>
      <c r="AA128" s="118">
        <f t="shared" si="86"/>
        <v>0</v>
      </c>
      <c r="AB128" s="118">
        <f t="shared" si="86"/>
        <v>0</v>
      </c>
      <c r="AC128" s="118">
        <f t="shared" si="86"/>
        <v>0</v>
      </c>
      <c r="AD128" s="103"/>
      <c r="AE128" s="103"/>
      <c r="AF128" s="77"/>
      <c r="AG128" s="77"/>
      <c r="AH128" s="77"/>
      <c r="AI128" s="77"/>
      <c r="AJ128" s="77"/>
    </row>
    <row r="129" spans="1:36" ht="12.75" x14ac:dyDescent="0.2">
      <c r="A129" s="103"/>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03"/>
      <c r="AE129" s="103"/>
      <c r="AF129" s="77"/>
      <c r="AG129" s="77"/>
      <c r="AH129" s="77"/>
      <c r="AI129" s="77"/>
      <c r="AJ129" s="77"/>
    </row>
    <row r="130" spans="1:36" ht="12.75" x14ac:dyDescent="0.2">
      <c r="A130" s="103" t="s">
        <v>745</v>
      </c>
      <c r="B130" s="118">
        <f t="shared" ref="B130:C130" si="87">C130</f>
        <v>23.620381171332561</v>
      </c>
      <c r="C130" s="118">
        <f t="shared" si="87"/>
        <v>23.620381171332561</v>
      </c>
      <c r="D130" s="118">
        <f>((($B$100*C44+$B$99*(1-C44))*(1+($B$102*C76+$B$101*(1-C76))))+(($B$100*C44+$B$99*(1-C44))*$B$105*$B$106))*D110*(1-$B$104)</f>
        <v>23.620381171332561</v>
      </c>
      <c r="E130" s="118">
        <f t="shared" ref="E130:P130" si="88">((($B$100*D44+$B$99*(1-D44))*(1+($B$102*D76+$B$101*(1-D76))))+(($B$100*D44+$B$99*(1-D44))*$B$105*$B$106))*E110*(1-$B$104)</f>
        <v>23.620381171332561</v>
      </c>
      <c r="F130" s="118">
        <f t="shared" si="88"/>
        <v>23.620381171332561</v>
      </c>
      <c r="G130" s="118">
        <f t="shared" si="88"/>
        <v>23.620381171332561</v>
      </c>
      <c r="H130" s="118">
        <f t="shared" si="88"/>
        <v>23.620381171332561</v>
      </c>
      <c r="I130" s="118">
        <f t="shared" si="88"/>
        <v>23.620381171332561</v>
      </c>
      <c r="J130" s="118">
        <f t="shared" si="88"/>
        <v>23.620381171332561</v>
      </c>
      <c r="K130" s="118">
        <f t="shared" si="88"/>
        <v>23.620381171332561</v>
      </c>
      <c r="L130" s="118">
        <f>((($B$100*K44+$B$99*(1-K44))*(1+($B$102*K76+$B$101*(1-K76))))+(($B$100*K44+$B$99*(1-K44))*$B$105*$B$106))*L110*(1-$B$104)</f>
        <v>23.620381171332561</v>
      </c>
      <c r="M130" s="118">
        <f>((($B$100*L44+$B$99*(1-L44))*(1+($B$102*L76+$B$101*(1-L76))))+(($B$100*L44+$B$99*(1-L44))*$B$105*$B$106))*M110*(1-$B$104)</f>
        <v>23.620381171332561</v>
      </c>
      <c r="N130" s="118">
        <f>((($B$100*M44+$B$99*(1-M44))*(1+($B$102*M76+$B$101*(1-M76))))+(($B$100*M44+$B$99*(1-M44))*$B$105*$B$106))*N110*(1-$B$104)</f>
        <v>23.620381171332561</v>
      </c>
      <c r="O130" s="118">
        <f t="shared" si="88"/>
        <v>23.620381171332561</v>
      </c>
      <c r="P130" s="118">
        <f t="shared" si="88"/>
        <v>23.620381171332561</v>
      </c>
      <c r="Q130" s="118">
        <f>((($B$100*P44+$B$99*(1-P44))*(1+($B$102*P76+$B$101*(1-P76))))+(($B$100*P44+$B$99*(1-P44))*$B$105*$B$106))*Q110*(1-$B$104)</f>
        <v>23.620381171332561</v>
      </c>
      <c r="R130" s="118">
        <f t="shared" ref="R130:AC130" si="89">((($B$100*Q44+$B$99*(1-Q44))*(1+($B$102*Q76+$B$101*(1-Q76))))+(($B$100*Q44+$B$99*(1-Q44))*$B$105*$B$106))*R110*(1-P104)</f>
        <v>25.535547212251416</v>
      </c>
      <c r="S130" s="118">
        <f t="shared" si="89"/>
        <v>25.535547212251416</v>
      </c>
      <c r="T130" s="118">
        <f t="shared" si="89"/>
        <v>19.151660409188562</v>
      </c>
      <c r="U130" s="118">
        <f t="shared" si="89"/>
        <v>12.767773606125708</v>
      </c>
      <c r="V130" s="118">
        <f t="shared" si="89"/>
        <v>0</v>
      </c>
      <c r="W130" s="118">
        <f t="shared" si="89"/>
        <v>0</v>
      </c>
      <c r="X130" s="118">
        <f t="shared" si="89"/>
        <v>0</v>
      </c>
      <c r="Y130" s="118">
        <f t="shared" si="89"/>
        <v>0</v>
      </c>
      <c r="Z130" s="118">
        <f t="shared" si="89"/>
        <v>0</v>
      </c>
      <c r="AA130" s="118">
        <f t="shared" si="89"/>
        <v>0</v>
      </c>
      <c r="AB130" s="118">
        <f t="shared" si="89"/>
        <v>0</v>
      </c>
      <c r="AC130" s="118">
        <f t="shared" si="89"/>
        <v>0</v>
      </c>
      <c r="AD130" s="103"/>
      <c r="AE130" s="103"/>
      <c r="AF130" s="77"/>
      <c r="AG130" s="77"/>
      <c r="AH130" s="77"/>
      <c r="AI130" s="77"/>
      <c r="AJ130" s="77"/>
    </row>
    <row r="131" spans="1:36" ht="12.75" x14ac:dyDescent="0.2">
      <c r="A131" s="103" t="s">
        <v>746</v>
      </c>
      <c r="B131" s="118">
        <f>B130*$B$96*(1-$B$104)</f>
        <v>18.464045540966026</v>
      </c>
      <c r="C131" s="118">
        <f t="shared" ref="C131" si="90">C130*$B$96*(1-$B$104)</f>
        <v>18.464045540966026</v>
      </c>
      <c r="D131" s="118">
        <f t="shared" ref="D131" si="91">D130*$B$96*(1-$B$104)</f>
        <v>18.464045540966026</v>
      </c>
      <c r="E131" s="118">
        <f t="shared" ref="E131" si="92">E130*$B$96*(1-$B$104)</f>
        <v>18.464045540966026</v>
      </c>
      <c r="F131" s="118">
        <f t="shared" ref="F131" si="93">F130*$B$96*(1-$B$104)</f>
        <v>18.464045540966026</v>
      </c>
      <c r="G131" s="118">
        <f t="shared" ref="G131" si="94">G130*$B$96*(1-$B$104)</f>
        <v>18.464045540966026</v>
      </c>
      <c r="H131" s="118">
        <f t="shared" ref="H131" si="95">H130*$B$96*(1-$B$104)</f>
        <v>18.464045540966026</v>
      </c>
      <c r="I131" s="118">
        <f t="shared" ref="I131" si="96">I130*$B$96*(1-$B$104)</f>
        <v>18.464045540966026</v>
      </c>
      <c r="J131" s="118">
        <f t="shared" ref="J131" si="97">J130*$B$96*(1-$B$104)</f>
        <v>18.464045540966026</v>
      </c>
      <c r="K131" s="118">
        <f t="shared" ref="K131" si="98">K130*$B$96*(1-$B$104)</f>
        <v>18.464045540966026</v>
      </c>
      <c r="L131" s="118">
        <f t="shared" ref="L131" si="99">L130*$B$96*(1-$B$104)</f>
        <v>18.464045540966026</v>
      </c>
      <c r="M131" s="118">
        <f t="shared" ref="M131" si="100">M130*$B$96*(1-$B$104)</f>
        <v>18.464045540966026</v>
      </c>
      <c r="N131" s="118">
        <f t="shared" ref="N131" si="101">N130*$B$96*(1-$B$104)</f>
        <v>18.464045540966026</v>
      </c>
      <c r="O131" s="118">
        <f t="shared" ref="O131" si="102">O130*$B$96*(1-$B$104)</f>
        <v>18.464045540966026</v>
      </c>
      <c r="P131" s="118">
        <f t="shared" ref="P131" si="103">P130*$B$96*(1-$B$104)</f>
        <v>18.464045540966026</v>
      </c>
      <c r="Q131" s="118">
        <f t="shared" ref="Q131" si="104">Q130*$B$96*(1-$B$104)</f>
        <v>18.464045540966026</v>
      </c>
      <c r="R131" s="118">
        <f t="shared" ref="R131" si="105">R130*$B$96*(1-$B$104)</f>
        <v>19.961130314557867</v>
      </c>
      <c r="S131" s="118">
        <f t="shared" ref="S131" si="106">S130*$B$96*(1-$B$104)</f>
        <v>19.961130314557867</v>
      </c>
      <c r="T131" s="118">
        <f t="shared" ref="T131" si="107">T130*$B$96*(1-$B$104)</f>
        <v>14.970847735918401</v>
      </c>
      <c r="U131" s="118">
        <f t="shared" ref="U131" si="108">U130*$B$96*(1-$B$104)</f>
        <v>9.9805651572789333</v>
      </c>
      <c r="V131" s="118">
        <f t="shared" ref="V131" si="109">V130*$B$96*(1-$B$104)</f>
        <v>0</v>
      </c>
      <c r="W131" s="118">
        <f t="shared" ref="W131" si="110">W130*$B$96*(1-$B$104)</f>
        <v>0</v>
      </c>
      <c r="X131" s="118">
        <f t="shared" ref="X131" si="111">X130*$B$96*(1-$B$104)</f>
        <v>0</v>
      </c>
      <c r="Y131" s="118">
        <f t="shared" ref="Y131" si="112">Y130*$B$96*(1-$B$104)</f>
        <v>0</v>
      </c>
      <c r="Z131" s="118">
        <f t="shared" ref="Z131" si="113">Z130*$B$96*(1-$B$104)</f>
        <v>0</v>
      </c>
      <c r="AA131" s="118">
        <f t="shared" ref="AA131" si="114">AA130*$B$96*(1-$B$104)</f>
        <v>0</v>
      </c>
      <c r="AB131" s="118">
        <f t="shared" ref="AB131" si="115">AB130*$B$96*(1-$B$104)</f>
        <v>0</v>
      </c>
      <c r="AC131" s="118">
        <f t="shared" ref="AC131" si="116">AC130*$B$96*(1-$B$104)</f>
        <v>0</v>
      </c>
      <c r="AD131" s="103"/>
      <c r="AE131" s="103"/>
      <c r="AF131" s="77"/>
      <c r="AG131" s="77"/>
      <c r="AH131" s="77"/>
      <c r="AI131" s="77"/>
      <c r="AJ131" s="77"/>
    </row>
    <row r="132" spans="1:36" ht="12.75" x14ac:dyDescent="0.2">
      <c r="A132" s="103" t="s">
        <v>747</v>
      </c>
      <c r="B132" s="118">
        <f>B131*$B$90</f>
        <v>16.379651838339772</v>
      </c>
      <c r="C132" s="118">
        <f t="shared" ref="C132:AC132" si="117">C131*$B$90</f>
        <v>16.379651838339772</v>
      </c>
      <c r="D132" s="118">
        <f t="shared" si="117"/>
        <v>16.379651838339772</v>
      </c>
      <c r="E132" s="118">
        <f t="shared" si="117"/>
        <v>16.379651838339772</v>
      </c>
      <c r="F132" s="118">
        <f t="shared" si="117"/>
        <v>16.379651838339772</v>
      </c>
      <c r="G132" s="118">
        <f t="shared" si="117"/>
        <v>16.379651838339772</v>
      </c>
      <c r="H132" s="118">
        <f t="shared" si="117"/>
        <v>16.379651838339772</v>
      </c>
      <c r="I132" s="118">
        <f t="shared" si="117"/>
        <v>16.379651838339772</v>
      </c>
      <c r="J132" s="118">
        <f t="shared" si="117"/>
        <v>16.379651838339772</v>
      </c>
      <c r="K132" s="118">
        <f t="shared" si="117"/>
        <v>16.379651838339772</v>
      </c>
      <c r="L132" s="118">
        <f t="shared" si="117"/>
        <v>16.379651838339772</v>
      </c>
      <c r="M132" s="118">
        <f t="shared" si="117"/>
        <v>16.379651838339772</v>
      </c>
      <c r="N132" s="118">
        <f t="shared" si="117"/>
        <v>16.379651838339772</v>
      </c>
      <c r="O132" s="118">
        <f t="shared" si="117"/>
        <v>16.379651838339772</v>
      </c>
      <c r="P132" s="118">
        <f t="shared" si="117"/>
        <v>16.379651838339772</v>
      </c>
      <c r="Q132" s="118">
        <f t="shared" si="117"/>
        <v>16.379651838339772</v>
      </c>
      <c r="R132" s="118">
        <f t="shared" si="117"/>
        <v>17.707731717124076</v>
      </c>
      <c r="S132" s="118">
        <f t="shared" si="117"/>
        <v>17.707731717124076</v>
      </c>
      <c r="T132" s="118">
        <f t="shared" si="117"/>
        <v>13.280798787843057</v>
      </c>
      <c r="U132" s="118">
        <f t="shared" si="117"/>
        <v>8.8538658585620382</v>
      </c>
      <c r="V132" s="118">
        <f t="shared" si="117"/>
        <v>0</v>
      </c>
      <c r="W132" s="118">
        <f t="shared" si="117"/>
        <v>0</v>
      </c>
      <c r="X132" s="118">
        <f t="shared" si="117"/>
        <v>0</v>
      </c>
      <c r="Y132" s="118">
        <f t="shared" si="117"/>
        <v>0</v>
      </c>
      <c r="Z132" s="118">
        <f t="shared" si="117"/>
        <v>0</v>
      </c>
      <c r="AA132" s="118">
        <f t="shared" si="117"/>
        <v>0</v>
      </c>
      <c r="AB132" s="118">
        <f t="shared" si="117"/>
        <v>0</v>
      </c>
      <c r="AC132" s="118">
        <f t="shared" si="117"/>
        <v>0</v>
      </c>
      <c r="AD132" s="103"/>
      <c r="AE132" s="103"/>
      <c r="AF132" s="77"/>
      <c r="AG132" s="77"/>
      <c r="AH132" s="77"/>
      <c r="AI132" s="77"/>
      <c r="AJ132" s="77"/>
    </row>
    <row r="133" spans="1:36" ht="12.75" x14ac:dyDescent="0.2">
      <c r="A133" s="103"/>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03"/>
      <c r="AE133" s="103"/>
      <c r="AF133" s="77"/>
      <c r="AG133" s="77"/>
      <c r="AH133" s="77"/>
      <c r="AI133" s="77"/>
      <c r="AJ133" s="77"/>
    </row>
    <row r="134" spans="1:36" ht="12.75" x14ac:dyDescent="0.2">
      <c r="A134" s="103" t="s">
        <v>825</v>
      </c>
      <c r="B134" s="118">
        <f>15</f>
        <v>15</v>
      </c>
      <c r="C134" s="118">
        <f>15</f>
        <v>15</v>
      </c>
      <c r="D134" s="118">
        <f>15</f>
        <v>15</v>
      </c>
      <c r="E134" s="118">
        <f>15</f>
        <v>15</v>
      </c>
      <c r="F134" s="118">
        <f>15</f>
        <v>15</v>
      </c>
      <c r="G134" s="118">
        <f>15</f>
        <v>15</v>
      </c>
      <c r="H134" s="118">
        <f>15</f>
        <v>15</v>
      </c>
      <c r="I134" s="118">
        <f>15</f>
        <v>15</v>
      </c>
      <c r="J134" s="118">
        <f>15</f>
        <v>15</v>
      </c>
      <c r="K134" s="118">
        <f>15</f>
        <v>15</v>
      </c>
      <c r="L134" s="118">
        <f>15</f>
        <v>15</v>
      </c>
      <c r="M134" s="118">
        <f>15</f>
        <v>15</v>
      </c>
      <c r="N134" s="118">
        <f>15</f>
        <v>15</v>
      </c>
      <c r="O134" s="118">
        <f>15</f>
        <v>15</v>
      </c>
      <c r="P134" s="118">
        <f>15</f>
        <v>15</v>
      </c>
      <c r="Q134" s="118">
        <f>15</f>
        <v>15</v>
      </c>
      <c r="R134" s="118">
        <f>15</f>
        <v>15</v>
      </c>
      <c r="S134" s="118">
        <f>15</f>
        <v>15</v>
      </c>
      <c r="T134" s="118">
        <f>15</f>
        <v>15</v>
      </c>
      <c r="U134" s="118">
        <f>15</f>
        <v>15</v>
      </c>
      <c r="V134" s="118">
        <f>15</f>
        <v>15</v>
      </c>
      <c r="W134" s="118">
        <f>15</f>
        <v>15</v>
      </c>
      <c r="X134" s="118">
        <f>15</f>
        <v>15</v>
      </c>
      <c r="Y134" s="118">
        <f>15</f>
        <v>15</v>
      </c>
      <c r="Z134" s="118">
        <f>15</f>
        <v>15</v>
      </c>
      <c r="AA134" s="118">
        <f>15</f>
        <v>15</v>
      </c>
      <c r="AB134" s="118">
        <f>15</f>
        <v>15</v>
      </c>
      <c r="AC134" s="118">
        <f>15</f>
        <v>15</v>
      </c>
      <c r="AD134" s="103"/>
      <c r="AE134" s="103"/>
      <c r="AF134" s="77"/>
      <c r="AG134" s="77"/>
      <c r="AH134" s="77"/>
      <c r="AI134" s="77"/>
      <c r="AJ134" s="77"/>
    </row>
    <row r="135" spans="1:36" ht="12.75" x14ac:dyDescent="0.2">
      <c r="A135" s="103" t="s">
        <v>826</v>
      </c>
      <c r="B135" s="118">
        <f>B134*$B$96*(1-$B$104)</f>
        <v>11.725495922590374</v>
      </c>
      <c r="C135" s="118">
        <f t="shared" ref="C135" si="118">C134*$B$96*(1-$B$104)</f>
        <v>11.725495922590374</v>
      </c>
      <c r="D135" s="118">
        <f t="shared" ref="D135" si="119">D134*$B$96*(1-$B$104)</f>
        <v>11.725495922590374</v>
      </c>
      <c r="E135" s="118">
        <f t="shared" ref="E135" si="120">E134*$B$96*(1-$B$104)</f>
        <v>11.725495922590374</v>
      </c>
      <c r="F135" s="118">
        <f t="shared" ref="F135" si="121">F134*$B$96*(1-$B$104)</f>
        <v>11.725495922590374</v>
      </c>
      <c r="G135" s="118">
        <f t="shared" ref="G135" si="122">G134*$B$96*(1-$B$104)</f>
        <v>11.725495922590374</v>
      </c>
      <c r="H135" s="118">
        <f t="shared" ref="H135" si="123">H134*$B$96*(1-$B$104)</f>
        <v>11.725495922590374</v>
      </c>
      <c r="I135" s="118">
        <f t="shared" ref="I135" si="124">I134*$B$96*(1-$B$104)</f>
        <v>11.725495922590374</v>
      </c>
      <c r="J135" s="118">
        <f t="shared" ref="J135" si="125">J134*$B$96*(1-$B$104)</f>
        <v>11.725495922590374</v>
      </c>
      <c r="K135" s="118">
        <f t="shared" ref="K135" si="126">K134*$B$96*(1-$B$104)</f>
        <v>11.725495922590374</v>
      </c>
      <c r="L135" s="118">
        <f t="shared" ref="L135" si="127">L134*$B$96*(1-$B$104)</f>
        <v>11.725495922590374</v>
      </c>
      <c r="M135" s="118">
        <f t="shared" ref="M135" si="128">M134*$B$96*(1-$B$104)</f>
        <v>11.725495922590374</v>
      </c>
      <c r="N135" s="118">
        <f t="shared" ref="N135" si="129">N134*$B$96*(1-$B$104)</f>
        <v>11.725495922590374</v>
      </c>
      <c r="O135" s="118">
        <f t="shared" ref="O135" si="130">O134*$B$96*(1-$B$104)</f>
        <v>11.725495922590374</v>
      </c>
      <c r="P135" s="118">
        <f t="shared" ref="P135" si="131">P134*$B$96*(1-$B$104)</f>
        <v>11.725495922590374</v>
      </c>
      <c r="Q135" s="118">
        <f t="shared" ref="Q135" si="132">Q134*$B$96*(1-$B$104)</f>
        <v>11.725495922590374</v>
      </c>
      <c r="R135" s="118">
        <f t="shared" ref="R135" si="133">R134*$B$96*(1-$B$104)</f>
        <v>11.725495922590374</v>
      </c>
      <c r="S135" s="118">
        <f t="shared" ref="S135" si="134">S134*$B$96*(1-$B$104)</f>
        <v>11.725495922590374</v>
      </c>
      <c r="T135" s="118">
        <f t="shared" ref="T135" si="135">T134*$B$96*(1-$B$104)</f>
        <v>11.725495922590374</v>
      </c>
      <c r="U135" s="118">
        <f t="shared" ref="U135" si="136">U134*$B$96*(1-$B$104)</f>
        <v>11.725495922590374</v>
      </c>
      <c r="V135" s="118">
        <f t="shared" ref="V135" si="137">V134*$B$96*(1-$B$104)</f>
        <v>11.725495922590374</v>
      </c>
      <c r="W135" s="118">
        <f t="shared" ref="W135" si="138">W134*$B$96*(1-$B$104)</f>
        <v>11.725495922590374</v>
      </c>
      <c r="X135" s="118">
        <f t="shared" ref="X135" si="139">X134*$B$96*(1-$B$104)</f>
        <v>11.725495922590374</v>
      </c>
      <c r="Y135" s="118">
        <f t="shared" ref="Y135" si="140">Y134*$B$96*(1-$B$104)</f>
        <v>11.725495922590374</v>
      </c>
      <c r="Z135" s="118">
        <f t="shared" ref="Z135" si="141">Z134*$B$96*(1-$B$104)</f>
        <v>11.725495922590374</v>
      </c>
      <c r="AA135" s="118">
        <f t="shared" ref="AA135" si="142">AA134*$B$96*(1-$B$104)</f>
        <v>11.725495922590374</v>
      </c>
      <c r="AB135" s="118">
        <f t="shared" ref="AB135" si="143">AB134*$B$96*(1-$B$104)</f>
        <v>11.725495922590374</v>
      </c>
      <c r="AC135" s="118">
        <f t="shared" ref="AC135" si="144">AC134*$B$96*(1-$B$104)</f>
        <v>11.725495922590374</v>
      </c>
      <c r="AD135" s="103"/>
      <c r="AE135" s="103"/>
      <c r="AF135" s="77"/>
      <c r="AG135" s="77"/>
      <c r="AH135" s="77"/>
      <c r="AI135" s="77"/>
      <c r="AJ135" s="77"/>
    </row>
    <row r="136" spans="1:36" ht="12.75" x14ac:dyDescent="0.2">
      <c r="A136" s="103" t="s">
        <v>827</v>
      </c>
      <c r="B136" s="118">
        <f>B135*$B$90</f>
        <v>10.401812561487784</v>
      </c>
      <c r="C136" s="118">
        <f t="shared" ref="C136:AC136" si="145">C135*$B$90</f>
        <v>10.401812561487784</v>
      </c>
      <c r="D136" s="118">
        <f t="shared" si="145"/>
        <v>10.401812561487784</v>
      </c>
      <c r="E136" s="118">
        <f t="shared" si="145"/>
        <v>10.401812561487784</v>
      </c>
      <c r="F136" s="118">
        <f t="shared" si="145"/>
        <v>10.401812561487784</v>
      </c>
      <c r="G136" s="118">
        <f t="shared" si="145"/>
        <v>10.401812561487784</v>
      </c>
      <c r="H136" s="118">
        <f t="shared" si="145"/>
        <v>10.401812561487784</v>
      </c>
      <c r="I136" s="118">
        <f t="shared" si="145"/>
        <v>10.401812561487784</v>
      </c>
      <c r="J136" s="118">
        <f t="shared" si="145"/>
        <v>10.401812561487784</v>
      </c>
      <c r="K136" s="118">
        <f t="shared" si="145"/>
        <v>10.401812561487784</v>
      </c>
      <c r="L136" s="118">
        <f t="shared" si="145"/>
        <v>10.401812561487784</v>
      </c>
      <c r="M136" s="118">
        <f t="shared" si="145"/>
        <v>10.401812561487784</v>
      </c>
      <c r="N136" s="118">
        <f t="shared" si="145"/>
        <v>10.401812561487784</v>
      </c>
      <c r="O136" s="118">
        <f t="shared" si="145"/>
        <v>10.401812561487784</v>
      </c>
      <c r="P136" s="118">
        <f t="shared" si="145"/>
        <v>10.401812561487784</v>
      </c>
      <c r="Q136" s="118">
        <f t="shared" si="145"/>
        <v>10.401812561487784</v>
      </c>
      <c r="R136" s="118">
        <f t="shared" si="145"/>
        <v>10.401812561487784</v>
      </c>
      <c r="S136" s="118">
        <f t="shared" si="145"/>
        <v>10.401812561487784</v>
      </c>
      <c r="T136" s="118">
        <f t="shared" si="145"/>
        <v>10.401812561487784</v>
      </c>
      <c r="U136" s="118">
        <f t="shared" si="145"/>
        <v>10.401812561487784</v>
      </c>
      <c r="V136" s="118">
        <f t="shared" si="145"/>
        <v>10.401812561487784</v>
      </c>
      <c r="W136" s="118">
        <f t="shared" si="145"/>
        <v>10.401812561487784</v>
      </c>
      <c r="X136" s="118">
        <f t="shared" si="145"/>
        <v>10.401812561487784</v>
      </c>
      <c r="Y136" s="118">
        <f t="shared" si="145"/>
        <v>10.401812561487784</v>
      </c>
      <c r="Z136" s="118">
        <f t="shared" si="145"/>
        <v>10.401812561487784</v>
      </c>
      <c r="AA136" s="118">
        <f t="shared" si="145"/>
        <v>10.401812561487784</v>
      </c>
      <c r="AB136" s="118">
        <f t="shared" si="145"/>
        <v>10.401812561487784</v>
      </c>
      <c r="AC136" s="118">
        <f t="shared" si="145"/>
        <v>10.401812561487784</v>
      </c>
      <c r="AD136" s="103"/>
      <c r="AE136" s="103"/>
      <c r="AF136" s="77"/>
      <c r="AG136" s="77"/>
      <c r="AH136" s="77"/>
      <c r="AI136" s="77"/>
      <c r="AJ136" s="77"/>
    </row>
    <row r="137" spans="1:36" ht="12.75" x14ac:dyDescent="0.2">
      <c r="A137" s="103"/>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03"/>
      <c r="AE137" s="103"/>
      <c r="AF137" s="77"/>
      <c r="AG137" s="77"/>
      <c r="AH137" s="77"/>
      <c r="AI137" s="77"/>
      <c r="AJ137" s="77"/>
    </row>
    <row r="138" spans="1:36" s="116" customFormat="1" ht="12.75" x14ac:dyDescent="0.2">
      <c r="A138" s="113" t="s">
        <v>748</v>
      </c>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14"/>
      <c r="AE138" s="114"/>
      <c r="AF138" s="115"/>
      <c r="AG138" s="115"/>
      <c r="AH138" s="115"/>
      <c r="AI138" s="115"/>
      <c r="AJ138" s="115"/>
    </row>
    <row r="139" spans="1:36" ht="12.75" x14ac:dyDescent="0.2">
      <c r="A139" s="103" t="s">
        <v>749</v>
      </c>
      <c r="B139" s="103">
        <v>2022</v>
      </c>
      <c r="C139" s="103">
        <v>2023</v>
      </c>
      <c r="D139" s="103">
        <v>2024</v>
      </c>
      <c r="E139" s="103">
        <v>2025</v>
      </c>
      <c r="F139" s="103">
        <v>2026</v>
      </c>
      <c r="G139" s="103">
        <v>2027</v>
      </c>
      <c r="H139" s="103">
        <v>2028</v>
      </c>
      <c r="I139" s="103">
        <v>2029</v>
      </c>
      <c r="J139" s="103">
        <v>2030</v>
      </c>
      <c r="K139" s="103">
        <v>2031</v>
      </c>
      <c r="L139" s="103">
        <v>2032</v>
      </c>
      <c r="M139" s="77">
        <v>2033</v>
      </c>
      <c r="N139" s="77">
        <v>2034</v>
      </c>
      <c r="O139" s="77">
        <v>2035</v>
      </c>
      <c r="P139" s="77">
        <v>2036</v>
      </c>
      <c r="Q139" s="77">
        <v>2037</v>
      </c>
      <c r="R139" s="77">
        <v>2038</v>
      </c>
      <c r="S139" s="77">
        <v>2039</v>
      </c>
      <c r="T139" s="77">
        <v>2040</v>
      </c>
      <c r="U139" s="77">
        <v>2041</v>
      </c>
      <c r="V139" s="77">
        <v>2042</v>
      </c>
      <c r="W139" s="77">
        <v>2043</v>
      </c>
      <c r="X139" s="77">
        <v>2044</v>
      </c>
      <c r="Y139" s="77">
        <v>2045</v>
      </c>
      <c r="Z139" s="77">
        <v>2046</v>
      </c>
      <c r="AA139" s="77">
        <v>2047</v>
      </c>
      <c r="AB139" s="77">
        <v>2048</v>
      </c>
      <c r="AC139" s="77">
        <v>2049</v>
      </c>
      <c r="AD139" s="77">
        <v>2050</v>
      </c>
      <c r="AE139" s="77"/>
      <c r="AF139" s="77"/>
      <c r="AG139" s="77"/>
      <c r="AH139" s="77"/>
      <c r="AI139" s="77"/>
      <c r="AJ139" s="77"/>
    </row>
    <row r="140" spans="1:36" ht="12.75" x14ac:dyDescent="0.2">
      <c r="A140" s="103" t="s">
        <v>750</v>
      </c>
      <c r="B140" s="117">
        <v>0</v>
      </c>
      <c r="C140" s="117">
        <v>1</v>
      </c>
      <c r="D140" s="117">
        <v>1</v>
      </c>
      <c r="E140" s="117">
        <v>1</v>
      </c>
      <c r="F140" s="117">
        <v>1</v>
      </c>
      <c r="G140" s="117">
        <v>1</v>
      </c>
      <c r="H140" s="117">
        <v>1</v>
      </c>
      <c r="I140" s="117">
        <v>1</v>
      </c>
      <c r="J140" s="117">
        <v>1</v>
      </c>
      <c r="K140" s="117">
        <v>1</v>
      </c>
      <c r="L140" s="117">
        <v>1</v>
      </c>
      <c r="M140" s="117">
        <v>1</v>
      </c>
      <c r="N140" s="117">
        <v>1</v>
      </c>
      <c r="O140" s="117">
        <v>1</v>
      </c>
      <c r="P140" s="117">
        <v>1</v>
      </c>
      <c r="Q140" s="117">
        <v>1</v>
      </c>
      <c r="R140" s="117">
        <v>1</v>
      </c>
      <c r="S140" s="117">
        <v>1</v>
      </c>
      <c r="T140" s="117">
        <v>1</v>
      </c>
      <c r="U140" s="117">
        <v>0.75</v>
      </c>
      <c r="V140" s="117">
        <v>0.5</v>
      </c>
      <c r="W140" s="117">
        <v>0</v>
      </c>
      <c r="X140" s="117">
        <v>0</v>
      </c>
      <c r="Y140" s="117">
        <v>0</v>
      </c>
      <c r="Z140" s="117">
        <v>0</v>
      </c>
      <c r="AA140" s="117">
        <v>0</v>
      </c>
      <c r="AB140" s="117">
        <v>0</v>
      </c>
      <c r="AC140" s="117">
        <v>0</v>
      </c>
      <c r="AD140" s="117">
        <v>0</v>
      </c>
      <c r="AE140" s="77"/>
      <c r="AF140" s="77"/>
      <c r="AG140" s="77"/>
      <c r="AH140" s="77"/>
      <c r="AI140" s="77"/>
      <c r="AJ140" s="77"/>
    </row>
    <row r="141" spans="1:36" ht="12.75" x14ac:dyDescent="0.2">
      <c r="A141" s="85"/>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row>
    <row r="142" spans="1:36" ht="12.75" x14ac:dyDescent="0.2">
      <c r="A142" s="103" t="s">
        <v>751</v>
      </c>
      <c r="B142" s="122">
        <v>0.06</v>
      </c>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row>
    <row r="143" spans="1:36" ht="12.75" x14ac:dyDescent="0.2">
      <c r="A143" s="103" t="s">
        <v>752</v>
      </c>
      <c r="B143" s="122">
        <v>0.3</v>
      </c>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row>
    <row r="144" spans="1:36" ht="12.75" x14ac:dyDescent="0.2">
      <c r="A144" s="103" t="s">
        <v>725</v>
      </c>
      <c r="B144" s="122">
        <v>0.02</v>
      </c>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2.75" x14ac:dyDescent="0.2">
      <c r="A145" s="103" t="s">
        <v>726</v>
      </c>
      <c r="B145" s="122">
        <v>0.1</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2.75" x14ac:dyDescent="0.2">
      <c r="A146" s="77" t="s">
        <v>727</v>
      </c>
      <c r="B146" s="96">
        <v>7.4999999999999997E-2</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2.75" x14ac:dyDescent="0.2">
      <c r="A147" s="103" t="s">
        <v>728</v>
      </c>
      <c r="B147" s="110">
        <v>0.1</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2.75" x14ac:dyDescent="0.2">
      <c r="A148" s="103" t="s">
        <v>729</v>
      </c>
      <c r="B148" s="110">
        <v>0.5</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2.75" x14ac:dyDescent="0.2">
      <c r="A149" s="85"/>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2.75" x14ac:dyDescent="0.2">
      <c r="A150" s="123" t="s">
        <v>753</v>
      </c>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2.75" x14ac:dyDescent="0.2">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77"/>
      <c r="AG151" s="77"/>
      <c r="AH151" s="77"/>
      <c r="AI151" s="77"/>
      <c r="AJ151" s="77"/>
    </row>
    <row r="152" spans="1:36" ht="12.75" x14ac:dyDescent="0.2">
      <c r="A152" s="103"/>
      <c r="B152" s="103">
        <v>2023</v>
      </c>
      <c r="C152" s="103">
        <v>2024</v>
      </c>
      <c r="D152" s="103">
        <v>2025</v>
      </c>
      <c r="E152" s="103">
        <v>2026</v>
      </c>
      <c r="F152" s="103">
        <v>2027</v>
      </c>
      <c r="G152" s="103">
        <v>2028</v>
      </c>
      <c r="H152" s="103">
        <v>2029</v>
      </c>
      <c r="I152" s="103">
        <v>2030</v>
      </c>
      <c r="J152" s="103">
        <v>2031</v>
      </c>
      <c r="K152" s="103">
        <v>2032</v>
      </c>
      <c r="L152" s="103">
        <v>2033</v>
      </c>
      <c r="M152" s="103">
        <v>2034</v>
      </c>
      <c r="N152" s="103">
        <v>2035</v>
      </c>
      <c r="O152" s="103">
        <v>2036</v>
      </c>
      <c r="P152" s="103">
        <v>2037</v>
      </c>
      <c r="Q152" s="103">
        <v>2038</v>
      </c>
      <c r="R152" s="103">
        <v>2039</v>
      </c>
      <c r="S152" s="103">
        <v>2040</v>
      </c>
      <c r="T152" s="103">
        <v>2041</v>
      </c>
      <c r="U152" s="103">
        <v>2042</v>
      </c>
      <c r="V152" s="103">
        <v>2043</v>
      </c>
      <c r="W152" s="103">
        <v>2044</v>
      </c>
      <c r="X152" s="103">
        <v>2045</v>
      </c>
      <c r="Y152" s="103">
        <v>2046</v>
      </c>
      <c r="Z152" s="103">
        <v>2047</v>
      </c>
      <c r="AA152" s="103">
        <v>2048</v>
      </c>
      <c r="AB152" s="103">
        <v>2049</v>
      </c>
      <c r="AC152" s="103">
        <v>2050</v>
      </c>
      <c r="AD152" s="103"/>
      <c r="AE152" s="103"/>
      <c r="AF152" s="77"/>
      <c r="AG152" s="77"/>
      <c r="AH152" s="77"/>
      <c r="AI152" s="77"/>
      <c r="AJ152" s="77"/>
    </row>
    <row r="153" spans="1:36" ht="12.75" x14ac:dyDescent="0.2">
      <c r="A153" s="77" t="s">
        <v>754</v>
      </c>
      <c r="B153" s="118">
        <f t="shared" ref="B153:C153" si="146">C153</f>
        <v>0.37940369807497465</v>
      </c>
      <c r="C153" s="118">
        <f t="shared" si="146"/>
        <v>0.37940369807497465</v>
      </c>
      <c r="D153" s="118">
        <f t="shared" ref="D153:AC153" si="147">(($B$143*C44+$B$142*(1-C44))+($B$145*C74+$B$144*(1-C74))+($B$147*$B$148))*(1-$B$146)*E140</f>
        <v>0.37940369807497465</v>
      </c>
      <c r="E153" s="118">
        <f t="shared" si="147"/>
        <v>0.38527608915906791</v>
      </c>
      <c r="F153" s="118">
        <f t="shared" si="147"/>
        <v>0.39114848024316112</v>
      </c>
      <c r="G153" s="118">
        <f t="shared" si="147"/>
        <v>0.39093521895755939</v>
      </c>
      <c r="H153" s="118">
        <f t="shared" si="147"/>
        <v>0.39076460992907802</v>
      </c>
      <c r="I153" s="118">
        <f t="shared" si="147"/>
        <v>0.39062502072395688</v>
      </c>
      <c r="J153" s="118">
        <f t="shared" si="147"/>
        <v>0.39062502072395688</v>
      </c>
      <c r="K153" s="118">
        <f t="shared" si="147"/>
        <v>0.39062502072395688</v>
      </c>
      <c r="L153" s="118">
        <f t="shared" si="147"/>
        <v>0.39062502072395688</v>
      </c>
      <c r="M153" s="118">
        <f t="shared" si="147"/>
        <v>0.39062502072395688</v>
      </c>
      <c r="N153" s="118">
        <f t="shared" si="147"/>
        <v>0.39062502072395688</v>
      </c>
      <c r="O153" s="118">
        <f t="shared" si="147"/>
        <v>0.39062502072395688</v>
      </c>
      <c r="P153" s="118">
        <f t="shared" si="147"/>
        <v>0.39062502072395688</v>
      </c>
      <c r="Q153" s="118">
        <f t="shared" si="147"/>
        <v>0.39062502072395688</v>
      </c>
      <c r="R153" s="118">
        <f t="shared" si="147"/>
        <v>0.39062502072395688</v>
      </c>
      <c r="S153" s="118">
        <f t="shared" si="147"/>
        <v>0.39062502072395688</v>
      </c>
      <c r="T153" s="118">
        <f t="shared" si="147"/>
        <v>0.29296876554296769</v>
      </c>
      <c r="U153" s="118">
        <f t="shared" si="147"/>
        <v>0.19531251036197844</v>
      </c>
      <c r="V153" s="118">
        <f t="shared" si="147"/>
        <v>0</v>
      </c>
      <c r="W153" s="103">
        <f t="shared" si="147"/>
        <v>0</v>
      </c>
      <c r="X153" s="103">
        <f t="shared" si="147"/>
        <v>0</v>
      </c>
      <c r="Y153" s="103">
        <f t="shared" si="147"/>
        <v>0</v>
      </c>
      <c r="Z153" s="103">
        <f t="shared" si="147"/>
        <v>0</v>
      </c>
      <c r="AA153" s="103">
        <f t="shared" si="147"/>
        <v>0</v>
      </c>
      <c r="AB153" s="103">
        <f t="shared" si="147"/>
        <v>0</v>
      </c>
      <c r="AC153" s="103">
        <f t="shared" si="147"/>
        <v>0</v>
      </c>
      <c r="AD153" s="103"/>
      <c r="AE153" s="103"/>
      <c r="AF153" s="77"/>
      <c r="AG153" s="77"/>
      <c r="AH153" s="77"/>
      <c r="AI153" s="77"/>
      <c r="AJ153" s="77"/>
    </row>
    <row r="154" spans="1:36" ht="12.75" x14ac:dyDescent="0.2">
      <c r="A154" s="103"/>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03"/>
      <c r="X154" s="103"/>
      <c r="Y154" s="103"/>
      <c r="Z154" s="103"/>
      <c r="AA154" s="103"/>
      <c r="AB154" s="103"/>
      <c r="AC154" s="103"/>
      <c r="AD154" s="103"/>
      <c r="AE154" s="103"/>
      <c r="AF154" s="77"/>
      <c r="AG154" s="77"/>
      <c r="AH154" s="77"/>
      <c r="AI154" s="77"/>
      <c r="AJ154" s="77"/>
    </row>
    <row r="155" spans="1:36" ht="12.75" x14ac:dyDescent="0.2">
      <c r="A155" s="103"/>
      <c r="B155" s="118">
        <v>2023</v>
      </c>
      <c r="C155" s="118">
        <v>2024</v>
      </c>
      <c r="D155" s="118">
        <v>2025</v>
      </c>
      <c r="E155" s="118">
        <v>2026</v>
      </c>
      <c r="F155" s="118">
        <v>2027</v>
      </c>
      <c r="G155" s="118">
        <v>2028</v>
      </c>
      <c r="H155" s="118">
        <v>2029</v>
      </c>
      <c r="I155" s="118">
        <v>2030</v>
      </c>
      <c r="J155" s="118">
        <v>2031</v>
      </c>
      <c r="K155" s="118">
        <v>2032</v>
      </c>
      <c r="L155" s="118">
        <v>2033</v>
      </c>
      <c r="M155" s="118">
        <v>2034</v>
      </c>
      <c r="N155" s="118">
        <v>2035</v>
      </c>
      <c r="O155" s="118">
        <v>2036</v>
      </c>
      <c r="P155" s="118">
        <v>2037</v>
      </c>
      <c r="Q155" s="118">
        <v>2038</v>
      </c>
      <c r="R155" s="118">
        <v>2039</v>
      </c>
      <c r="S155" s="118">
        <v>2040</v>
      </c>
      <c r="T155" s="118">
        <v>2041</v>
      </c>
      <c r="U155" s="118">
        <v>2042</v>
      </c>
      <c r="V155" s="118">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2.75" x14ac:dyDescent="0.2">
      <c r="A156" s="77" t="s">
        <v>755</v>
      </c>
      <c r="B156" s="118">
        <f t="shared" ref="B156:C156" si="148">C156</f>
        <v>0.41625000000000001</v>
      </c>
      <c r="C156" s="118">
        <f t="shared" si="148"/>
        <v>0.41625000000000001</v>
      </c>
      <c r="D156" s="118">
        <f t="shared" ref="D156:AC156" si="149">(($B$143*C44+$B$142*(1-C44))+($B$145*C76+$B$144*(1-C76))+($B$147*$B$148))*(1-$B$146)*E140</f>
        <v>0.41625000000000001</v>
      </c>
      <c r="E156" s="118">
        <f t="shared" si="149"/>
        <v>0.41625000000000001</v>
      </c>
      <c r="F156" s="118">
        <f t="shared" si="149"/>
        <v>0.41625000000000001</v>
      </c>
      <c r="G156" s="118">
        <f t="shared" si="149"/>
        <v>0.41625000000000001</v>
      </c>
      <c r="H156" s="118">
        <f t="shared" si="149"/>
        <v>0.41625000000000001</v>
      </c>
      <c r="I156" s="118">
        <f t="shared" si="149"/>
        <v>0.41625000000000001</v>
      </c>
      <c r="J156" s="118">
        <f t="shared" si="149"/>
        <v>0.41625000000000001</v>
      </c>
      <c r="K156" s="118">
        <f t="shared" si="149"/>
        <v>0.41625000000000001</v>
      </c>
      <c r="L156" s="118">
        <f t="shared" si="149"/>
        <v>0.41625000000000001</v>
      </c>
      <c r="M156" s="118">
        <f t="shared" si="149"/>
        <v>0.41625000000000001</v>
      </c>
      <c r="N156" s="118">
        <f t="shared" si="149"/>
        <v>0.41625000000000001</v>
      </c>
      <c r="O156" s="118">
        <f t="shared" si="149"/>
        <v>0.41625000000000001</v>
      </c>
      <c r="P156" s="118">
        <f t="shared" si="149"/>
        <v>0.41625000000000001</v>
      </c>
      <c r="Q156" s="118">
        <f t="shared" si="149"/>
        <v>0.41625000000000001</v>
      </c>
      <c r="R156" s="118">
        <f t="shared" si="149"/>
        <v>0.41625000000000001</v>
      </c>
      <c r="S156" s="118">
        <f t="shared" si="149"/>
        <v>0.41625000000000001</v>
      </c>
      <c r="T156" s="118">
        <f t="shared" si="149"/>
        <v>0.31218750000000001</v>
      </c>
      <c r="U156" s="118">
        <f t="shared" si="149"/>
        <v>0.208125</v>
      </c>
      <c r="V156" s="118">
        <f t="shared" si="149"/>
        <v>0</v>
      </c>
      <c r="W156" s="103">
        <f t="shared" si="149"/>
        <v>0</v>
      </c>
      <c r="X156" s="103">
        <f t="shared" si="149"/>
        <v>0</v>
      </c>
      <c r="Y156" s="103">
        <f t="shared" si="149"/>
        <v>0</v>
      </c>
      <c r="Z156" s="103">
        <f t="shared" si="149"/>
        <v>0</v>
      </c>
      <c r="AA156" s="103">
        <f t="shared" si="149"/>
        <v>0</v>
      </c>
      <c r="AB156" s="103">
        <f t="shared" si="149"/>
        <v>0</v>
      </c>
      <c r="AC156" s="103">
        <f t="shared" si="149"/>
        <v>0</v>
      </c>
      <c r="AD156" s="103"/>
      <c r="AE156" s="103"/>
      <c r="AF156" s="77"/>
      <c r="AG156" s="77"/>
      <c r="AH156" s="77"/>
      <c r="AI156" s="77"/>
      <c r="AJ156" s="77"/>
    </row>
    <row r="157" spans="1:36" ht="12.75" x14ac:dyDescent="0.2">
      <c r="A157" s="77"/>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2.75" x14ac:dyDescent="0.2">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2.75" x14ac:dyDescent="0.2">
      <c r="A159" s="77" t="s">
        <v>756</v>
      </c>
      <c r="B159" s="118">
        <f t="shared" ref="B159:C159" si="150">C159</f>
        <v>0.41625000000000001</v>
      </c>
      <c r="C159" s="118">
        <f t="shared" si="150"/>
        <v>0.41625000000000001</v>
      </c>
      <c r="D159" s="118">
        <f t="shared" ref="D159:AC159" si="151">(($B$143*C44+$B$142*(1-C44))+($B$145*C76+$B$144*(1-C76))+($B$147*$B$148))*(1-$B$146)*E140</f>
        <v>0.41625000000000001</v>
      </c>
      <c r="E159" s="118">
        <f t="shared" si="151"/>
        <v>0.41625000000000001</v>
      </c>
      <c r="F159" s="118">
        <f t="shared" si="151"/>
        <v>0.41625000000000001</v>
      </c>
      <c r="G159" s="118">
        <f t="shared" si="151"/>
        <v>0.41625000000000001</v>
      </c>
      <c r="H159" s="118">
        <f t="shared" si="151"/>
        <v>0.41625000000000001</v>
      </c>
      <c r="I159" s="118">
        <f t="shared" si="151"/>
        <v>0.41625000000000001</v>
      </c>
      <c r="J159" s="118">
        <f t="shared" si="151"/>
        <v>0.41625000000000001</v>
      </c>
      <c r="K159" s="118">
        <f t="shared" si="151"/>
        <v>0.41625000000000001</v>
      </c>
      <c r="L159" s="118">
        <f t="shared" si="151"/>
        <v>0.41625000000000001</v>
      </c>
      <c r="M159" s="118">
        <f t="shared" si="151"/>
        <v>0.41625000000000001</v>
      </c>
      <c r="N159" s="118">
        <f t="shared" si="151"/>
        <v>0.41625000000000001</v>
      </c>
      <c r="O159" s="118">
        <f t="shared" si="151"/>
        <v>0.41625000000000001</v>
      </c>
      <c r="P159" s="118">
        <f t="shared" si="151"/>
        <v>0.41625000000000001</v>
      </c>
      <c r="Q159" s="118">
        <f t="shared" si="151"/>
        <v>0.41625000000000001</v>
      </c>
      <c r="R159" s="118">
        <f t="shared" si="151"/>
        <v>0.41625000000000001</v>
      </c>
      <c r="S159" s="118">
        <f t="shared" si="151"/>
        <v>0.41625000000000001</v>
      </c>
      <c r="T159" s="118">
        <f t="shared" si="151"/>
        <v>0.31218750000000001</v>
      </c>
      <c r="U159" s="118">
        <f t="shared" si="151"/>
        <v>0.208125</v>
      </c>
      <c r="V159" s="118">
        <f t="shared" si="151"/>
        <v>0</v>
      </c>
      <c r="W159" s="103">
        <f t="shared" si="151"/>
        <v>0</v>
      </c>
      <c r="X159" s="103">
        <f t="shared" si="151"/>
        <v>0</v>
      </c>
      <c r="Y159" s="103">
        <f t="shared" si="151"/>
        <v>0</v>
      </c>
      <c r="Z159" s="103">
        <f t="shared" si="151"/>
        <v>0</v>
      </c>
      <c r="AA159" s="103">
        <f t="shared" si="151"/>
        <v>0</v>
      </c>
      <c r="AB159" s="103">
        <f t="shared" si="151"/>
        <v>0</v>
      </c>
      <c r="AC159" s="103">
        <f t="shared" si="151"/>
        <v>0</v>
      </c>
      <c r="AD159" s="103"/>
      <c r="AE159" s="103"/>
      <c r="AF159" s="77"/>
      <c r="AG159" s="77"/>
      <c r="AH159" s="77"/>
      <c r="AI159" s="77"/>
      <c r="AJ159" s="77"/>
    </row>
    <row r="160" spans="1:36" ht="12.75" x14ac:dyDescent="0.2">
      <c r="A160" s="103"/>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2.75" x14ac:dyDescent="0.2">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2.75" x14ac:dyDescent="0.2">
      <c r="A162" s="77" t="s">
        <v>757</v>
      </c>
      <c r="B162" s="118">
        <f t="shared" ref="B162:C162" si="152">C162</f>
        <v>0.41625000000000001</v>
      </c>
      <c r="C162" s="118">
        <f t="shared" si="152"/>
        <v>0.41625000000000001</v>
      </c>
      <c r="D162" s="118">
        <f t="shared" ref="D162:AC162" si="153">(($B$143*C44+$B$142*(1-C44))+($B$145*C76+$B$144*(1-C76))+($B$147*$B$148))*(1-$B$146)*E140</f>
        <v>0.41625000000000001</v>
      </c>
      <c r="E162" s="118">
        <f t="shared" si="153"/>
        <v>0.41625000000000001</v>
      </c>
      <c r="F162" s="118">
        <f t="shared" si="153"/>
        <v>0.41625000000000001</v>
      </c>
      <c r="G162" s="118">
        <f t="shared" si="153"/>
        <v>0.41625000000000001</v>
      </c>
      <c r="H162" s="118">
        <f t="shared" si="153"/>
        <v>0.41625000000000001</v>
      </c>
      <c r="I162" s="118">
        <f t="shared" si="153"/>
        <v>0.41625000000000001</v>
      </c>
      <c r="J162" s="118">
        <f t="shared" si="153"/>
        <v>0.41625000000000001</v>
      </c>
      <c r="K162" s="118">
        <f t="shared" si="153"/>
        <v>0.41625000000000001</v>
      </c>
      <c r="L162" s="118">
        <f t="shared" si="153"/>
        <v>0.41625000000000001</v>
      </c>
      <c r="M162" s="118">
        <f t="shared" si="153"/>
        <v>0.41625000000000001</v>
      </c>
      <c r="N162" s="118">
        <f t="shared" si="153"/>
        <v>0.41625000000000001</v>
      </c>
      <c r="O162" s="118">
        <f t="shared" si="153"/>
        <v>0.41625000000000001</v>
      </c>
      <c r="P162" s="118">
        <f t="shared" si="153"/>
        <v>0.41625000000000001</v>
      </c>
      <c r="Q162" s="118">
        <f t="shared" si="153"/>
        <v>0.41625000000000001</v>
      </c>
      <c r="R162" s="118">
        <f t="shared" si="153"/>
        <v>0.41625000000000001</v>
      </c>
      <c r="S162" s="118">
        <f t="shared" si="153"/>
        <v>0.41625000000000001</v>
      </c>
      <c r="T162" s="118">
        <f t="shared" si="153"/>
        <v>0.31218750000000001</v>
      </c>
      <c r="U162" s="118">
        <f t="shared" si="153"/>
        <v>0.208125</v>
      </c>
      <c r="V162" s="118">
        <f t="shared" si="153"/>
        <v>0</v>
      </c>
      <c r="W162" s="103">
        <f t="shared" si="153"/>
        <v>0</v>
      </c>
      <c r="X162" s="103">
        <f t="shared" si="153"/>
        <v>0</v>
      </c>
      <c r="Y162" s="103">
        <f t="shared" si="153"/>
        <v>0</v>
      </c>
      <c r="Z162" s="103">
        <f t="shared" si="153"/>
        <v>0</v>
      </c>
      <c r="AA162" s="103">
        <f t="shared" si="153"/>
        <v>0</v>
      </c>
      <c r="AB162" s="103">
        <f t="shared" si="153"/>
        <v>0</v>
      </c>
      <c r="AC162" s="103">
        <f t="shared" si="153"/>
        <v>0</v>
      </c>
      <c r="AD162" s="103"/>
      <c r="AE162" s="103"/>
      <c r="AF162" s="77"/>
      <c r="AG162" s="77"/>
      <c r="AH162" s="77"/>
      <c r="AI162" s="77"/>
      <c r="AJ162" s="77"/>
    </row>
    <row r="163" spans="1:36" ht="12.75"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row>
    <row r="164" spans="1:36" ht="12.75" x14ac:dyDescent="0.2">
      <c r="A164" s="81" t="s">
        <v>821</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row>
    <row r="165" spans="1:36" ht="12.75" x14ac:dyDescent="0.2">
      <c r="A165" s="77" t="s">
        <v>823</v>
      </c>
      <c r="B165" s="77">
        <v>2021</v>
      </c>
      <c r="C165" s="77">
        <v>2022</v>
      </c>
      <c r="D165" s="77">
        <v>2023</v>
      </c>
      <c r="E165" s="77">
        <v>2024</v>
      </c>
      <c r="F165" s="77">
        <v>2025</v>
      </c>
      <c r="G165" s="77">
        <v>2026</v>
      </c>
      <c r="H165" s="77">
        <v>2027</v>
      </c>
      <c r="I165" s="77">
        <v>2028</v>
      </c>
      <c r="J165" s="77">
        <v>2029</v>
      </c>
      <c r="K165" s="77">
        <v>2030</v>
      </c>
      <c r="L165" s="77">
        <v>2031</v>
      </c>
      <c r="M165" s="77">
        <v>2032</v>
      </c>
      <c r="N165" s="77">
        <v>2033</v>
      </c>
      <c r="O165" s="77">
        <v>2034</v>
      </c>
      <c r="P165" s="77">
        <v>2035</v>
      </c>
      <c r="Q165" s="77">
        <v>2036</v>
      </c>
      <c r="R165" s="77">
        <v>2037</v>
      </c>
      <c r="S165" s="77">
        <v>2038</v>
      </c>
      <c r="T165" s="77">
        <v>2039</v>
      </c>
      <c r="U165" s="77">
        <v>2040</v>
      </c>
      <c r="V165" s="77">
        <v>2041</v>
      </c>
      <c r="W165" s="77">
        <v>2042</v>
      </c>
      <c r="X165" s="77">
        <v>2043</v>
      </c>
      <c r="Y165" s="77">
        <v>2044</v>
      </c>
      <c r="Z165" s="77">
        <v>2045</v>
      </c>
      <c r="AA165" s="77">
        <v>2046</v>
      </c>
      <c r="AB165" s="77">
        <v>2047</v>
      </c>
      <c r="AC165" s="77">
        <v>2048</v>
      </c>
      <c r="AD165" s="77">
        <v>2049</v>
      </c>
      <c r="AE165" s="77">
        <v>2050</v>
      </c>
      <c r="AF165" s="77">
        <v>2050</v>
      </c>
      <c r="AG165" s="77">
        <v>2050</v>
      </c>
      <c r="AH165" s="77"/>
      <c r="AI165" s="77"/>
      <c r="AJ165" s="77"/>
    </row>
    <row r="166" spans="1:36" ht="12.75" x14ac:dyDescent="0.2">
      <c r="A166" s="77" t="s">
        <v>824</v>
      </c>
      <c r="B166" s="77">
        <v>20</v>
      </c>
      <c r="C166" s="77">
        <v>20</v>
      </c>
      <c r="D166" s="77">
        <v>20</v>
      </c>
      <c r="E166" s="77">
        <v>20</v>
      </c>
      <c r="F166" s="77">
        <v>20</v>
      </c>
      <c r="G166" s="77">
        <v>20</v>
      </c>
      <c r="H166" s="77">
        <v>20</v>
      </c>
      <c r="I166" s="77">
        <v>20</v>
      </c>
      <c r="J166" s="77">
        <v>20</v>
      </c>
      <c r="K166" s="77">
        <v>20</v>
      </c>
      <c r="L166" s="77">
        <v>20</v>
      </c>
      <c r="M166" s="77">
        <v>20</v>
      </c>
      <c r="N166" s="77">
        <v>20</v>
      </c>
      <c r="O166" s="77">
        <v>20</v>
      </c>
      <c r="P166" s="77">
        <v>20</v>
      </c>
      <c r="Q166" s="77">
        <v>20</v>
      </c>
      <c r="R166" s="77">
        <v>20</v>
      </c>
      <c r="S166" s="77">
        <v>20</v>
      </c>
      <c r="T166" s="77">
        <v>20</v>
      </c>
      <c r="U166" s="77">
        <v>20</v>
      </c>
      <c r="V166" s="77">
        <v>20</v>
      </c>
      <c r="W166" s="77">
        <v>20</v>
      </c>
      <c r="X166" s="77">
        <v>20</v>
      </c>
      <c r="Y166" s="77">
        <v>20</v>
      </c>
      <c r="Z166" s="77">
        <v>20</v>
      </c>
      <c r="AA166" s="77">
        <v>20</v>
      </c>
      <c r="AB166" s="77">
        <v>20</v>
      </c>
      <c r="AC166" s="77">
        <v>20</v>
      </c>
      <c r="AD166" s="77">
        <v>20</v>
      </c>
      <c r="AE166" s="77">
        <v>20</v>
      </c>
      <c r="AF166" s="77">
        <v>20</v>
      </c>
      <c r="AG166" s="77">
        <v>20</v>
      </c>
      <c r="AH166" s="77"/>
      <c r="AI166" s="77"/>
      <c r="AJ166" s="77"/>
    </row>
    <row r="167" spans="1:36"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row>
    <row r="168" spans="1:36" ht="12.75" x14ac:dyDescent="0.2">
      <c r="A168" s="77" t="s">
        <v>758</v>
      </c>
      <c r="B168" s="77">
        <v>2020</v>
      </c>
      <c r="C168" s="77">
        <v>2021</v>
      </c>
      <c r="D168" s="77">
        <v>2022</v>
      </c>
      <c r="E168" s="77">
        <v>2023</v>
      </c>
      <c r="F168" s="77">
        <v>2024</v>
      </c>
      <c r="G168" s="77">
        <v>2025</v>
      </c>
      <c r="H168" s="77">
        <v>2026</v>
      </c>
      <c r="I168" s="77">
        <v>2027</v>
      </c>
      <c r="J168" s="77">
        <v>2028</v>
      </c>
      <c r="K168" s="77">
        <v>2029</v>
      </c>
      <c r="L168" s="77">
        <v>2030</v>
      </c>
      <c r="M168" s="77">
        <v>2031</v>
      </c>
      <c r="N168" s="77">
        <v>2032</v>
      </c>
      <c r="O168" s="77">
        <v>2033</v>
      </c>
      <c r="P168" s="77">
        <v>2034</v>
      </c>
      <c r="Q168" s="77">
        <v>2035</v>
      </c>
      <c r="R168" s="77">
        <v>2036</v>
      </c>
      <c r="S168" s="77">
        <v>2037</v>
      </c>
      <c r="T168" s="77">
        <v>2038</v>
      </c>
      <c r="U168" s="77">
        <v>2039</v>
      </c>
      <c r="V168" s="77">
        <v>2040</v>
      </c>
      <c r="W168" s="77">
        <v>2041</v>
      </c>
      <c r="X168" s="77">
        <v>2042</v>
      </c>
      <c r="Y168" s="77">
        <v>2043</v>
      </c>
      <c r="Z168" s="77">
        <v>2044</v>
      </c>
      <c r="AA168" s="77">
        <v>2045</v>
      </c>
      <c r="AB168" s="77">
        <v>2046</v>
      </c>
      <c r="AC168" s="77">
        <v>2047</v>
      </c>
      <c r="AD168" s="77">
        <v>2048</v>
      </c>
      <c r="AE168" s="77">
        <v>2049</v>
      </c>
      <c r="AF168" s="77">
        <v>2050</v>
      </c>
      <c r="AG168" s="77"/>
      <c r="AH168" s="77"/>
      <c r="AI168" s="77"/>
      <c r="AJ168" s="77"/>
    </row>
    <row r="169" spans="1:36" ht="12.75" x14ac:dyDescent="0.2">
      <c r="A169" s="77" t="s">
        <v>759</v>
      </c>
      <c r="B169" s="77">
        <v>0.44</v>
      </c>
      <c r="C169" s="77">
        <v>0.44</v>
      </c>
      <c r="D169" s="77">
        <v>0.44</v>
      </c>
      <c r="E169" s="77">
        <v>0.44</v>
      </c>
      <c r="F169" s="77">
        <v>0.44</v>
      </c>
      <c r="G169" s="77">
        <v>0.44</v>
      </c>
      <c r="H169" s="77">
        <v>0.44</v>
      </c>
      <c r="I169" s="77">
        <v>0.44</v>
      </c>
      <c r="J169" s="77">
        <v>0.44</v>
      </c>
      <c r="K169" s="77">
        <v>0.44</v>
      </c>
      <c r="L169" s="77">
        <v>0.44</v>
      </c>
      <c r="M169" s="77">
        <v>0.44</v>
      </c>
      <c r="N169" s="77">
        <v>0.44</v>
      </c>
      <c r="O169" s="77">
        <v>0.44</v>
      </c>
      <c r="P169" s="77">
        <v>0.44</v>
      </c>
      <c r="Q169" s="77">
        <v>0.44</v>
      </c>
      <c r="R169" s="77">
        <v>0.44</v>
      </c>
      <c r="S169" s="77">
        <v>0.44</v>
      </c>
      <c r="T169" s="77">
        <v>0.44</v>
      </c>
      <c r="U169" s="77">
        <v>0.44</v>
      </c>
      <c r="V169" s="77">
        <v>0.44</v>
      </c>
      <c r="W169" s="77">
        <v>0.44</v>
      </c>
      <c r="X169" s="77">
        <v>0.44</v>
      </c>
      <c r="Y169" s="77">
        <v>0.44</v>
      </c>
      <c r="Z169" s="77">
        <v>0.44</v>
      </c>
      <c r="AA169" s="77">
        <v>0.44</v>
      </c>
      <c r="AB169" s="77">
        <v>0.44</v>
      </c>
      <c r="AC169" s="77">
        <v>0.44</v>
      </c>
      <c r="AD169" s="77">
        <v>0.44</v>
      </c>
      <c r="AE169" s="77">
        <v>0.44</v>
      </c>
      <c r="AF169" s="77">
        <v>0.44</v>
      </c>
      <c r="AG169" s="77"/>
      <c r="AH169" s="77"/>
      <c r="AI169" s="77"/>
      <c r="AJ169" s="77"/>
    </row>
    <row r="170" spans="1:36" ht="12.75" x14ac:dyDescent="0.2">
      <c r="A170" s="77" t="s">
        <v>760</v>
      </c>
      <c r="B170" s="77">
        <v>0</v>
      </c>
      <c r="C170" s="77">
        <v>0</v>
      </c>
      <c r="D170" s="77">
        <v>0</v>
      </c>
      <c r="E170" s="77">
        <v>0</v>
      </c>
      <c r="F170" s="77">
        <v>0</v>
      </c>
      <c r="G170" s="77">
        <v>0</v>
      </c>
      <c r="H170" s="77">
        <v>0</v>
      </c>
      <c r="I170" s="77">
        <v>0</v>
      </c>
      <c r="J170" s="77">
        <v>0</v>
      </c>
      <c r="K170" s="77">
        <v>0</v>
      </c>
      <c r="L170" s="77">
        <v>0</v>
      </c>
      <c r="M170" s="77">
        <v>0</v>
      </c>
      <c r="N170" s="77">
        <v>0</v>
      </c>
      <c r="O170" s="77">
        <v>0</v>
      </c>
      <c r="P170" s="77">
        <v>0</v>
      </c>
      <c r="Q170" s="77">
        <v>0</v>
      </c>
      <c r="R170" s="77">
        <v>0</v>
      </c>
      <c r="S170" s="77">
        <v>0</v>
      </c>
      <c r="T170" s="77">
        <v>0</v>
      </c>
      <c r="U170" s="77">
        <v>0</v>
      </c>
      <c r="V170" s="77">
        <v>0</v>
      </c>
      <c r="W170" s="77">
        <v>0</v>
      </c>
      <c r="X170" s="77">
        <v>0</v>
      </c>
      <c r="Y170" s="77">
        <v>0</v>
      </c>
      <c r="Z170" s="77">
        <v>0</v>
      </c>
      <c r="AA170" s="77">
        <v>0</v>
      </c>
      <c r="AB170" s="77">
        <v>0</v>
      </c>
      <c r="AC170" s="77">
        <v>0</v>
      </c>
      <c r="AD170" s="77">
        <v>0</v>
      </c>
      <c r="AE170" s="77">
        <v>0</v>
      </c>
      <c r="AF170" s="77">
        <v>0</v>
      </c>
      <c r="AG170" s="77"/>
      <c r="AH170" s="77"/>
      <c r="AI170" s="77"/>
      <c r="AJ170" s="77"/>
    </row>
    <row r="171" spans="1:36" ht="12.75" x14ac:dyDescent="0.2">
      <c r="A171" s="77" t="s">
        <v>761</v>
      </c>
      <c r="B171" s="77">
        <v>0.48399999999999999</v>
      </c>
      <c r="C171" s="77">
        <v>0.48399999999999999</v>
      </c>
      <c r="D171" s="77">
        <v>0.48399999999999999</v>
      </c>
      <c r="E171" s="77">
        <v>0.48399999999999999</v>
      </c>
      <c r="F171" s="77">
        <v>0.48399999999999999</v>
      </c>
      <c r="G171" s="77">
        <v>0.48399999999999999</v>
      </c>
      <c r="H171" s="77">
        <v>0.48399999999999999</v>
      </c>
      <c r="I171" s="77">
        <v>0.48399999999999999</v>
      </c>
      <c r="J171" s="77">
        <v>0.48399999999999999</v>
      </c>
      <c r="K171" s="77">
        <v>0.48399999999999999</v>
      </c>
      <c r="L171" s="77">
        <v>0.48399999999999999</v>
      </c>
      <c r="M171" s="77">
        <v>0.48399999999999999</v>
      </c>
      <c r="N171" s="77">
        <v>0.48399999999999999</v>
      </c>
      <c r="O171" s="77">
        <v>0.48399999999999999</v>
      </c>
      <c r="P171" s="77">
        <v>0.48399999999999999</v>
      </c>
      <c r="Q171" s="77">
        <v>0.48399999999999999</v>
      </c>
      <c r="R171" s="77">
        <v>0.48399999999999999</v>
      </c>
      <c r="S171" s="77">
        <v>0.48399999999999999</v>
      </c>
      <c r="T171" s="77">
        <v>0.48399999999999999</v>
      </c>
      <c r="U171" s="77">
        <v>0.48399999999999999</v>
      </c>
      <c r="V171" s="77">
        <v>0.48399999999999999</v>
      </c>
      <c r="W171" s="77">
        <v>0.48399999999999999</v>
      </c>
      <c r="X171" s="77">
        <v>0.48399999999999999</v>
      </c>
      <c r="Y171" s="77">
        <v>0.48399999999999999</v>
      </c>
      <c r="Z171" s="77">
        <v>0.48399999999999999</v>
      </c>
      <c r="AA171" s="77">
        <v>0.48399999999999999</v>
      </c>
      <c r="AB171" s="77">
        <v>0.48399999999999999</v>
      </c>
      <c r="AC171" s="77">
        <v>0.48399999999999999</v>
      </c>
      <c r="AD171" s="77">
        <v>0.48399999999999999</v>
      </c>
      <c r="AE171" s="77">
        <v>0.48399999999999999</v>
      </c>
      <c r="AF171" s="77">
        <v>0.48399999999999999</v>
      </c>
      <c r="AG171" s="77"/>
      <c r="AH171" s="77"/>
      <c r="AI171" s="77"/>
      <c r="AJ171" s="77"/>
    </row>
    <row r="172" spans="1:36" ht="12.75" x14ac:dyDescent="0.2">
      <c r="A172" s="77" t="s">
        <v>762</v>
      </c>
      <c r="B172" s="77">
        <v>0.14199999999999999</v>
      </c>
      <c r="C172" s="77">
        <v>0.14199999999999999</v>
      </c>
      <c r="D172" s="77">
        <v>0.14199999999999999</v>
      </c>
      <c r="E172" s="77">
        <v>0.14199999999999999</v>
      </c>
      <c r="F172" s="77">
        <v>0.14199999999999999</v>
      </c>
      <c r="G172" s="77">
        <v>0.14199999999999999</v>
      </c>
      <c r="H172" s="77">
        <v>0.14199999999999999</v>
      </c>
      <c r="I172" s="77">
        <v>0.14199999999999999</v>
      </c>
      <c r="J172" s="77">
        <v>0.14199999999999999</v>
      </c>
      <c r="K172" s="77">
        <v>0.14199999999999999</v>
      </c>
      <c r="L172" s="77">
        <v>0.14199999999999999</v>
      </c>
      <c r="M172" s="77">
        <v>0.14199999999999999</v>
      </c>
      <c r="N172" s="77">
        <v>0.14199999999999999</v>
      </c>
      <c r="O172" s="77">
        <v>0.14199999999999999</v>
      </c>
      <c r="P172" s="77">
        <v>0.14199999999999999</v>
      </c>
      <c r="Q172" s="77">
        <v>0.14199999999999999</v>
      </c>
      <c r="R172" s="77">
        <v>0.14199999999999999</v>
      </c>
      <c r="S172" s="77">
        <v>0.14199999999999999</v>
      </c>
      <c r="T172" s="77">
        <v>0.14199999999999999</v>
      </c>
      <c r="U172" s="77">
        <v>0.14199999999999999</v>
      </c>
      <c r="V172" s="77">
        <v>0.14199999999999999</v>
      </c>
      <c r="W172" s="77">
        <v>0.14199999999999999</v>
      </c>
      <c r="X172" s="77">
        <v>0.14199999999999999</v>
      </c>
      <c r="Y172" s="77">
        <v>0.14199999999999999</v>
      </c>
      <c r="Z172" s="77">
        <v>0.14199999999999999</v>
      </c>
      <c r="AA172" s="77">
        <v>0.14199999999999999</v>
      </c>
      <c r="AB172" s="77">
        <v>0.14199999999999999</v>
      </c>
      <c r="AC172" s="77">
        <v>0.14199999999999999</v>
      </c>
      <c r="AD172" s="77">
        <v>0.14199999999999999</v>
      </c>
      <c r="AE172" s="77">
        <v>0.14199999999999999</v>
      </c>
      <c r="AF172" s="77">
        <v>0.14199999999999999</v>
      </c>
      <c r="AG172" s="77"/>
      <c r="AH172" s="77"/>
      <c r="AI172" s="77"/>
      <c r="AJ172" s="77"/>
    </row>
    <row r="173" spans="1:36" ht="12.75" x14ac:dyDescent="0.2">
      <c r="A173" s="77" t="s">
        <v>763</v>
      </c>
      <c r="B173" s="77">
        <v>0.56999999999999995</v>
      </c>
      <c r="C173" s="77">
        <v>0.56999999999999995</v>
      </c>
      <c r="D173" s="77">
        <v>0.56999999999999995</v>
      </c>
      <c r="E173" s="77">
        <v>0.56999999999999995</v>
      </c>
      <c r="F173" s="77">
        <v>0.56999999999999995</v>
      </c>
      <c r="G173" s="77">
        <v>0.56999999999999995</v>
      </c>
      <c r="H173" s="77">
        <v>0.56999999999999995</v>
      </c>
      <c r="I173" s="77">
        <v>0.56999999999999995</v>
      </c>
      <c r="J173" s="77">
        <v>0.56999999999999995</v>
      </c>
      <c r="K173" s="77">
        <v>0.56999999999999995</v>
      </c>
      <c r="L173" s="77">
        <v>0.56999999999999995</v>
      </c>
      <c r="M173" s="77">
        <v>0.56999999999999995</v>
      </c>
      <c r="N173" s="77">
        <v>0.56999999999999995</v>
      </c>
      <c r="O173" s="77">
        <v>0.56999999999999995</v>
      </c>
      <c r="P173" s="77">
        <v>0.56999999999999995</v>
      </c>
      <c r="Q173" s="77">
        <v>0.56999999999999995</v>
      </c>
      <c r="R173" s="77">
        <v>0.56999999999999995</v>
      </c>
      <c r="S173" s="77">
        <v>0.56999999999999995</v>
      </c>
      <c r="T173" s="77">
        <v>0.56999999999999995</v>
      </c>
      <c r="U173" s="77">
        <v>0.56999999999999995</v>
      </c>
      <c r="V173" s="77">
        <v>0.56999999999999995</v>
      </c>
      <c r="W173" s="77">
        <v>0.56999999999999995</v>
      </c>
      <c r="X173" s="77">
        <v>0.56999999999999995</v>
      </c>
      <c r="Y173" s="77">
        <v>0.56999999999999995</v>
      </c>
      <c r="Z173" s="77">
        <v>0.56999999999999995</v>
      </c>
      <c r="AA173" s="77">
        <v>0.56999999999999995</v>
      </c>
      <c r="AB173" s="77">
        <v>0.56999999999999995</v>
      </c>
      <c r="AC173" s="77">
        <v>0.56999999999999995</v>
      </c>
      <c r="AD173" s="77">
        <v>0.56999999999999995</v>
      </c>
      <c r="AE173" s="77">
        <v>0.56999999999999995</v>
      </c>
      <c r="AF173" s="77">
        <v>0.56999999999999995</v>
      </c>
      <c r="AG173" s="77"/>
      <c r="AH173" s="77"/>
      <c r="AI173" s="77"/>
      <c r="AJ173" s="77"/>
    </row>
    <row r="174" spans="1:36" ht="12.75" x14ac:dyDescent="0.2">
      <c r="A174" s="77" t="s">
        <v>764</v>
      </c>
      <c r="B174" s="77">
        <v>0.627</v>
      </c>
      <c r="C174" s="77">
        <v>0.627</v>
      </c>
      <c r="D174" s="77">
        <v>0.627</v>
      </c>
      <c r="E174" s="77">
        <v>0.627</v>
      </c>
      <c r="F174" s="77">
        <v>0.627</v>
      </c>
      <c r="G174" s="77">
        <v>0.627</v>
      </c>
      <c r="H174" s="77">
        <v>0.627</v>
      </c>
      <c r="I174" s="77">
        <v>0.627</v>
      </c>
      <c r="J174" s="77">
        <v>0.627</v>
      </c>
      <c r="K174" s="77">
        <v>0.627</v>
      </c>
      <c r="L174" s="77">
        <v>0.627</v>
      </c>
      <c r="M174" s="77">
        <v>0.627</v>
      </c>
      <c r="N174" s="77">
        <v>0.627</v>
      </c>
      <c r="O174" s="77">
        <v>0.627</v>
      </c>
      <c r="P174" s="77">
        <v>0.627</v>
      </c>
      <c r="Q174" s="77">
        <v>0.627</v>
      </c>
      <c r="R174" s="77">
        <v>0.627</v>
      </c>
      <c r="S174" s="77">
        <v>0.627</v>
      </c>
      <c r="T174" s="77">
        <v>0.627</v>
      </c>
      <c r="U174" s="77">
        <v>0.627</v>
      </c>
      <c r="V174" s="77">
        <v>0.627</v>
      </c>
      <c r="W174" s="77">
        <v>0.627</v>
      </c>
      <c r="X174" s="77">
        <v>0.627</v>
      </c>
      <c r="Y174" s="77">
        <v>0.627</v>
      </c>
      <c r="Z174" s="77">
        <v>0.627</v>
      </c>
      <c r="AA174" s="77">
        <v>0.627</v>
      </c>
      <c r="AB174" s="77">
        <v>0.627</v>
      </c>
      <c r="AC174" s="77">
        <v>0.627</v>
      </c>
      <c r="AD174" s="77">
        <v>0.627</v>
      </c>
      <c r="AE174" s="77">
        <v>0.627</v>
      </c>
      <c r="AF174" s="77">
        <v>0.627</v>
      </c>
      <c r="AG174" s="77"/>
      <c r="AH174" s="77"/>
      <c r="AI174" s="77"/>
      <c r="AJ174" s="77"/>
    </row>
    <row r="175" spans="1:36" ht="12.75" x14ac:dyDescent="0.2">
      <c r="A175" s="77" t="s">
        <v>765</v>
      </c>
      <c r="B175" s="77">
        <v>0.92400000000000004</v>
      </c>
      <c r="C175" s="77">
        <v>0.92400000000000004</v>
      </c>
      <c r="D175" s="77">
        <v>0.92400000000000004</v>
      </c>
      <c r="E175" s="77">
        <v>0.92400000000000004</v>
      </c>
      <c r="F175" s="77">
        <v>0.92400000000000004</v>
      </c>
      <c r="G175" s="77">
        <v>0.92400000000000004</v>
      </c>
      <c r="H175" s="77">
        <v>0.92400000000000004</v>
      </c>
      <c r="I175" s="77">
        <v>0.92400000000000004</v>
      </c>
      <c r="J175" s="77">
        <v>0.92400000000000004</v>
      </c>
      <c r="K175" s="77">
        <v>0.92400000000000004</v>
      </c>
      <c r="L175" s="77">
        <v>0.92400000000000004</v>
      </c>
      <c r="M175" s="77">
        <v>0.92400000000000004</v>
      </c>
      <c r="N175" s="77">
        <v>0.92400000000000004</v>
      </c>
      <c r="O175" s="77">
        <v>0.92400000000000004</v>
      </c>
      <c r="P175" s="77">
        <v>0.92400000000000004</v>
      </c>
      <c r="Q175" s="77">
        <v>0.92400000000000004</v>
      </c>
      <c r="R175" s="77">
        <v>0.92400000000000004</v>
      </c>
      <c r="S175" s="77">
        <v>0.92400000000000004</v>
      </c>
      <c r="T175" s="77">
        <v>0.92400000000000004</v>
      </c>
      <c r="U175" s="77">
        <v>0.92400000000000004</v>
      </c>
      <c r="V175" s="77">
        <v>0.92400000000000004</v>
      </c>
      <c r="W175" s="77">
        <v>0.92400000000000004</v>
      </c>
      <c r="X175" s="77">
        <v>0.92400000000000004</v>
      </c>
      <c r="Y175" s="77">
        <v>0.92400000000000004</v>
      </c>
      <c r="Z175" s="77">
        <v>0.92400000000000004</v>
      </c>
      <c r="AA175" s="77">
        <v>0.92400000000000004</v>
      </c>
      <c r="AB175" s="77">
        <v>0.92400000000000004</v>
      </c>
      <c r="AC175" s="77">
        <v>0.92400000000000004</v>
      </c>
      <c r="AD175" s="77">
        <v>0.92400000000000004</v>
      </c>
      <c r="AE175" s="77">
        <v>0.92400000000000004</v>
      </c>
      <c r="AF175" s="77">
        <v>0.92400000000000004</v>
      </c>
      <c r="AG175" s="77"/>
      <c r="AH175" s="77"/>
      <c r="AI175" s="77"/>
      <c r="AJ175" s="77"/>
    </row>
    <row r="176" spans="1:36" ht="12.75" x14ac:dyDescent="0.2">
      <c r="A176" s="77" t="s">
        <v>766</v>
      </c>
      <c r="B176" s="77">
        <v>0</v>
      </c>
      <c r="C176" s="77">
        <v>0</v>
      </c>
      <c r="D176" s="77">
        <v>0</v>
      </c>
      <c r="E176" s="77">
        <v>0</v>
      </c>
      <c r="F176" s="77">
        <v>0</v>
      </c>
      <c r="G176" s="77">
        <v>0</v>
      </c>
      <c r="H176" s="77">
        <v>0</v>
      </c>
      <c r="I176" s="77">
        <v>0</v>
      </c>
      <c r="J176" s="77">
        <v>0</v>
      </c>
      <c r="K176" s="124">
        <v>0</v>
      </c>
      <c r="L176" s="124">
        <v>0</v>
      </c>
      <c r="M176" s="124">
        <v>0</v>
      </c>
      <c r="N176" s="124">
        <v>0</v>
      </c>
      <c r="O176" s="124">
        <v>0</v>
      </c>
      <c r="P176" s="124">
        <v>0</v>
      </c>
      <c r="Q176" s="124">
        <v>0</v>
      </c>
      <c r="R176" s="124">
        <v>0</v>
      </c>
      <c r="S176" s="124">
        <v>0</v>
      </c>
      <c r="T176" s="124">
        <v>0</v>
      </c>
      <c r="U176" s="124">
        <v>0</v>
      </c>
      <c r="V176" s="124">
        <v>0</v>
      </c>
      <c r="W176" s="124">
        <v>0</v>
      </c>
      <c r="X176" s="124">
        <v>0</v>
      </c>
      <c r="Y176" s="124">
        <v>0</v>
      </c>
      <c r="Z176" s="124">
        <v>0</v>
      </c>
      <c r="AA176" s="124">
        <v>0</v>
      </c>
      <c r="AB176" s="124">
        <v>0</v>
      </c>
      <c r="AC176" s="124">
        <v>0</v>
      </c>
      <c r="AD176" s="124">
        <v>0</v>
      </c>
      <c r="AE176" s="124">
        <v>0</v>
      </c>
      <c r="AF176" s="124">
        <v>0</v>
      </c>
      <c r="AG176" s="124"/>
      <c r="AH176" s="124"/>
      <c r="AI176" s="124"/>
      <c r="AJ176" s="124"/>
    </row>
    <row r="177" spans="1:36" ht="12.75" x14ac:dyDescent="0.2">
      <c r="A177" s="77" t="s">
        <v>767</v>
      </c>
      <c r="B177" s="77">
        <v>0.92400000000000004</v>
      </c>
      <c r="C177" s="77">
        <v>0.92400000000000004</v>
      </c>
      <c r="D177" s="77">
        <v>0.92400000000000004</v>
      </c>
      <c r="E177" s="77">
        <v>0.92400000000000004</v>
      </c>
      <c r="F177" s="77">
        <v>0.92400000000000004</v>
      </c>
      <c r="G177" s="77">
        <v>0.92400000000000004</v>
      </c>
      <c r="H177" s="77">
        <v>0.92400000000000004</v>
      </c>
      <c r="I177" s="77">
        <v>0.92400000000000004</v>
      </c>
      <c r="J177" s="77">
        <v>0.92400000000000004</v>
      </c>
      <c r="K177" s="77">
        <v>0.92400000000000004</v>
      </c>
      <c r="L177" s="77">
        <v>0.92400000000000004</v>
      </c>
      <c r="M177" s="77">
        <v>0.92400000000000004</v>
      </c>
      <c r="N177" s="77">
        <v>0.92400000000000004</v>
      </c>
      <c r="O177" s="77">
        <v>0.92400000000000004</v>
      </c>
      <c r="P177" s="77">
        <v>0.92400000000000004</v>
      </c>
      <c r="Q177" s="77">
        <v>0.92400000000000004</v>
      </c>
      <c r="R177" s="77">
        <v>0.92400000000000004</v>
      </c>
      <c r="S177" s="77">
        <v>0.92400000000000004</v>
      </c>
      <c r="T177" s="77">
        <v>0.92400000000000004</v>
      </c>
      <c r="U177" s="77">
        <v>0.92400000000000004</v>
      </c>
      <c r="V177" s="77">
        <v>0.92400000000000004</v>
      </c>
      <c r="W177" s="77">
        <v>0.92400000000000004</v>
      </c>
      <c r="X177" s="77">
        <v>0.92400000000000004</v>
      </c>
      <c r="Y177" s="77">
        <v>0.92400000000000004</v>
      </c>
      <c r="Z177" s="77">
        <v>0.92400000000000004</v>
      </c>
      <c r="AA177" s="77">
        <v>0.92400000000000004</v>
      </c>
      <c r="AB177" s="77">
        <v>0.92400000000000004</v>
      </c>
      <c r="AC177" s="77">
        <v>0.92400000000000004</v>
      </c>
      <c r="AD177" s="77">
        <v>0.92400000000000004</v>
      </c>
      <c r="AE177" s="77">
        <v>0.92400000000000004</v>
      </c>
      <c r="AF177" s="77">
        <v>0.92400000000000004</v>
      </c>
      <c r="AG177" s="77"/>
      <c r="AH177" s="77"/>
      <c r="AI177" s="77"/>
      <c r="AJ177" s="77"/>
    </row>
    <row r="178" spans="1:36" ht="12.75" x14ac:dyDescent="0.2">
      <c r="A178" s="77" t="s">
        <v>768</v>
      </c>
      <c r="B178" s="77">
        <v>0.40699999999999997</v>
      </c>
      <c r="C178" s="77">
        <v>0.40699999999999997</v>
      </c>
      <c r="D178" s="77">
        <v>0.40699999999999997</v>
      </c>
      <c r="E178" s="77">
        <v>0.40699999999999997</v>
      </c>
      <c r="F178" s="77">
        <v>0.40699999999999997</v>
      </c>
      <c r="G178" s="77">
        <v>0.40699999999999997</v>
      </c>
      <c r="H178" s="77">
        <v>0.40699999999999997</v>
      </c>
      <c r="I178" s="77">
        <v>0.40699999999999997</v>
      </c>
      <c r="J178" s="77">
        <v>0.40699999999999997</v>
      </c>
      <c r="K178" s="77">
        <v>0.40699999999999997</v>
      </c>
      <c r="L178" s="77">
        <v>0.40699999999999997</v>
      </c>
      <c r="M178" s="77">
        <v>0.40699999999999997</v>
      </c>
      <c r="N178" s="77">
        <v>0.40699999999999997</v>
      </c>
      <c r="O178" s="77">
        <v>0.40699999999999997</v>
      </c>
      <c r="P178" s="77">
        <v>0.40699999999999997</v>
      </c>
      <c r="Q178" s="77">
        <v>0.40699999999999997</v>
      </c>
      <c r="R178" s="77">
        <v>0.40699999999999997</v>
      </c>
      <c r="S178" s="77">
        <v>0.40699999999999997</v>
      </c>
      <c r="T178" s="77">
        <v>0.40699999999999997</v>
      </c>
      <c r="U178" s="77">
        <v>0.40699999999999997</v>
      </c>
      <c r="V178" s="77">
        <v>0.40699999999999997</v>
      </c>
      <c r="W178" s="77">
        <v>0.40699999999999997</v>
      </c>
      <c r="X178" s="77">
        <v>0.40699999999999997</v>
      </c>
      <c r="Y178" s="77">
        <v>0.40699999999999997</v>
      </c>
      <c r="Z178" s="77">
        <v>0.40699999999999997</v>
      </c>
      <c r="AA178" s="77">
        <v>0.40699999999999997</v>
      </c>
      <c r="AB178" s="77">
        <v>0.40699999999999997</v>
      </c>
      <c r="AC178" s="77">
        <v>0.40699999999999997</v>
      </c>
      <c r="AD178" s="77">
        <v>0.40699999999999997</v>
      </c>
      <c r="AE178" s="77">
        <v>0.40699999999999997</v>
      </c>
      <c r="AF178" s="77">
        <v>0.40699999999999997</v>
      </c>
      <c r="AG178" s="77"/>
      <c r="AH178" s="77"/>
      <c r="AI178" s="77"/>
      <c r="AJ178" s="77"/>
    </row>
    <row r="179" spans="1:36" ht="12.75" x14ac:dyDescent="0.2">
      <c r="A179" s="77" t="s">
        <v>769</v>
      </c>
      <c r="B179" s="77">
        <v>0</v>
      </c>
      <c r="C179" s="77">
        <v>0</v>
      </c>
      <c r="D179" s="77">
        <v>0</v>
      </c>
      <c r="E179" s="77">
        <v>0</v>
      </c>
      <c r="F179" s="77">
        <v>0</v>
      </c>
      <c r="G179" s="77">
        <v>0</v>
      </c>
      <c r="H179" s="77">
        <v>0</v>
      </c>
      <c r="I179" s="77">
        <v>0</v>
      </c>
      <c r="J179" s="77">
        <v>0</v>
      </c>
      <c r="K179" s="77">
        <v>0</v>
      </c>
      <c r="L179" s="77">
        <v>0</v>
      </c>
      <c r="M179" s="77">
        <v>0</v>
      </c>
      <c r="N179" s="77">
        <v>0</v>
      </c>
      <c r="O179" s="77">
        <v>0</v>
      </c>
      <c r="P179" s="77">
        <v>0</v>
      </c>
      <c r="Q179" s="77">
        <v>0</v>
      </c>
      <c r="R179" s="77">
        <v>0</v>
      </c>
      <c r="S179" s="77">
        <v>0</v>
      </c>
      <c r="T179" s="77">
        <v>0</v>
      </c>
      <c r="U179" s="77">
        <v>0</v>
      </c>
      <c r="V179" s="77">
        <v>0</v>
      </c>
      <c r="W179" s="77">
        <v>0</v>
      </c>
      <c r="X179" s="77">
        <v>0</v>
      </c>
      <c r="Y179" s="77">
        <v>0</v>
      </c>
      <c r="Z179" s="77">
        <v>0</v>
      </c>
      <c r="AA179" s="77">
        <v>0</v>
      </c>
      <c r="AB179" s="77">
        <v>0</v>
      </c>
      <c r="AC179" s="77">
        <v>0</v>
      </c>
      <c r="AD179" s="77">
        <v>0</v>
      </c>
      <c r="AE179" s="77">
        <v>0</v>
      </c>
      <c r="AF179" s="77">
        <v>0</v>
      </c>
      <c r="AG179" s="77"/>
      <c r="AH179" s="77"/>
      <c r="AI179" s="77"/>
      <c r="AJ179" s="77"/>
    </row>
    <row r="180" spans="1:36" ht="12.75" x14ac:dyDescent="0.2">
      <c r="A180" s="77" t="s">
        <v>770</v>
      </c>
      <c r="B180" s="77">
        <v>0.44800000000000001</v>
      </c>
      <c r="C180" s="77">
        <v>0.44800000000000001</v>
      </c>
      <c r="D180" s="77">
        <v>0.44800000000000001</v>
      </c>
      <c r="E180" s="77">
        <v>0.44800000000000001</v>
      </c>
      <c r="F180" s="77">
        <v>0.44800000000000001</v>
      </c>
      <c r="G180" s="77">
        <v>0.44800000000000001</v>
      </c>
      <c r="H180" s="77">
        <v>0.44800000000000001</v>
      </c>
      <c r="I180" s="77">
        <v>0.44800000000000001</v>
      </c>
      <c r="J180" s="77">
        <v>0.44800000000000001</v>
      </c>
      <c r="K180" s="77">
        <v>0.44800000000000001</v>
      </c>
      <c r="L180" s="77">
        <v>0.44800000000000001</v>
      </c>
      <c r="M180" s="77">
        <v>0.44800000000000001</v>
      </c>
      <c r="N180" s="77">
        <v>0.44800000000000001</v>
      </c>
      <c r="O180" s="77">
        <v>0.44800000000000001</v>
      </c>
      <c r="P180" s="77">
        <v>0.44800000000000001</v>
      </c>
      <c r="Q180" s="77">
        <v>0.44800000000000001</v>
      </c>
      <c r="R180" s="77">
        <v>0.44800000000000001</v>
      </c>
      <c r="S180" s="77">
        <v>0.44800000000000001</v>
      </c>
      <c r="T180" s="77">
        <v>0.44800000000000001</v>
      </c>
      <c r="U180" s="77">
        <v>0.44800000000000001</v>
      </c>
      <c r="V180" s="77">
        <v>0.44800000000000001</v>
      </c>
      <c r="W180" s="77">
        <v>0.44800000000000001</v>
      </c>
      <c r="X180" s="77">
        <v>0.44800000000000001</v>
      </c>
      <c r="Y180" s="77">
        <v>0.44800000000000001</v>
      </c>
      <c r="Z180" s="77">
        <v>0.44800000000000001</v>
      </c>
      <c r="AA180" s="77">
        <v>0.44800000000000001</v>
      </c>
      <c r="AB180" s="77">
        <v>0.44800000000000001</v>
      </c>
      <c r="AC180" s="77">
        <v>0.44800000000000001</v>
      </c>
      <c r="AD180" s="77">
        <v>0.44800000000000001</v>
      </c>
      <c r="AE180" s="77">
        <v>0.44800000000000001</v>
      </c>
      <c r="AF180" s="77">
        <v>0.44800000000000001</v>
      </c>
      <c r="AG180" s="77"/>
      <c r="AH180" s="77"/>
      <c r="AI180" s="77"/>
      <c r="AJ180" s="77"/>
    </row>
    <row r="181" spans="1:36" ht="12.75" x14ac:dyDescent="0.2">
      <c r="A181" s="77" t="s">
        <v>771</v>
      </c>
      <c r="B181" s="77">
        <v>0.35299999999999998</v>
      </c>
      <c r="C181" s="77">
        <v>0.35299999999999998</v>
      </c>
      <c r="D181" s="77">
        <v>0.35299999999999998</v>
      </c>
      <c r="E181" s="77">
        <v>0.35299999999999998</v>
      </c>
      <c r="F181" s="77">
        <v>0.35299999999999998</v>
      </c>
      <c r="G181" s="77">
        <v>0.35299999999999998</v>
      </c>
      <c r="H181" s="77">
        <v>0.35299999999999998</v>
      </c>
      <c r="I181" s="77">
        <v>0.35299999999999998</v>
      </c>
      <c r="J181" s="77">
        <v>0.35299999999999998</v>
      </c>
      <c r="K181" s="77">
        <v>0.35299999999999998</v>
      </c>
      <c r="L181" s="77">
        <v>0.35299999999999998</v>
      </c>
      <c r="M181" s="77">
        <v>0.35299999999999998</v>
      </c>
      <c r="N181" s="77">
        <v>0.35299999999999998</v>
      </c>
      <c r="O181" s="77">
        <v>0.35299999999999998</v>
      </c>
      <c r="P181" s="77">
        <v>0.35299999999999998</v>
      </c>
      <c r="Q181" s="77">
        <v>0.35299999999999998</v>
      </c>
      <c r="R181" s="77">
        <v>0.35299999999999998</v>
      </c>
      <c r="S181" s="77">
        <v>0.35299999999999998</v>
      </c>
      <c r="T181" s="77">
        <v>0.35299999999999998</v>
      </c>
      <c r="U181" s="77">
        <v>0.35299999999999998</v>
      </c>
      <c r="V181" s="77">
        <v>0.35299999999999998</v>
      </c>
      <c r="W181" s="77">
        <v>0.35299999999999998</v>
      </c>
      <c r="X181" s="77">
        <v>0.35299999999999998</v>
      </c>
      <c r="Y181" s="77">
        <v>0.35299999999999998</v>
      </c>
      <c r="Z181" s="77">
        <v>0.35299999999999998</v>
      </c>
      <c r="AA181" s="77">
        <v>0.35299999999999998</v>
      </c>
      <c r="AB181" s="77">
        <v>0.35299999999999998</v>
      </c>
      <c r="AC181" s="77">
        <v>0.35299999999999998</v>
      </c>
      <c r="AD181" s="77">
        <v>0.35299999999999998</v>
      </c>
      <c r="AE181" s="77">
        <v>0.35299999999999998</v>
      </c>
      <c r="AF181" s="77">
        <v>0.35299999999999998</v>
      </c>
      <c r="AG181" s="77"/>
      <c r="AH181" s="77"/>
      <c r="AI181" s="77"/>
      <c r="AJ181" s="77"/>
    </row>
    <row r="182" spans="1:36" ht="12.75" x14ac:dyDescent="0.2">
      <c r="A182" s="77" t="s">
        <v>772</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2.75" x14ac:dyDescent="0.2">
      <c r="A183" s="77" t="s">
        <v>773</v>
      </c>
      <c r="B183" s="77">
        <v>0.40100000000000002</v>
      </c>
      <c r="C183" s="77">
        <v>0.40400000000000003</v>
      </c>
      <c r="D183" s="77">
        <v>0.40699999999999997</v>
      </c>
      <c r="E183" s="77">
        <v>0.41</v>
      </c>
      <c r="F183" s="77">
        <v>0.41299999999999998</v>
      </c>
      <c r="G183" s="77">
        <v>0.41499999999999998</v>
      </c>
      <c r="H183" s="77">
        <v>0.41799999999999998</v>
      </c>
      <c r="I183" s="77">
        <v>0.42099999999999999</v>
      </c>
      <c r="J183" s="77">
        <v>0.42399999999999999</v>
      </c>
      <c r="K183" s="77">
        <v>0.42699999999999999</v>
      </c>
      <c r="L183" s="77">
        <v>0.43</v>
      </c>
      <c r="M183" s="77">
        <v>0.43099999999999999</v>
      </c>
      <c r="N183" s="77">
        <v>0.43099999999999999</v>
      </c>
      <c r="O183" s="77">
        <v>0.432</v>
      </c>
      <c r="P183" s="77">
        <v>0.433</v>
      </c>
      <c r="Q183" s="77">
        <v>0.434</v>
      </c>
      <c r="R183" s="77">
        <v>0.434</v>
      </c>
      <c r="S183" s="77">
        <v>0.435</v>
      </c>
      <c r="T183" s="77">
        <v>0.436</v>
      </c>
      <c r="U183" s="77">
        <v>0.437</v>
      </c>
      <c r="V183" s="77">
        <v>0.437</v>
      </c>
      <c r="W183" s="77">
        <v>0.438</v>
      </c>
      <c r="X183" s="77">
        <v>0.439</v>
      </c>
      <c r="Y183" s="77">
        <v>0.44</v>
      </c>
      <c r="Z183" s="77">
        <v>0.44</v>
      </c>
      <c r="AA183" s="77">
        <v>0.441</v>
      </c>
      <c r="AB183" s="77">
        <v>0.442</v>
      </c>
      <c r="AC183" s="77">
        <v>0.443</v>
      </c>
      <c r="AD183" s="77">
        <v>0.443</v>
      </c>
      <c r="AE183" s="77">
        <v>0.44400000000000001</v>
      </c>
      <c r="AF183" s="77">
        <v>0.44500000000000001</v>
      </c>
      <c r="AG183" s="77"/>
      <c r="AH183" s="77"/>
      <c r="AI183" s="77"/>
      <c r="AJ183" s="77"/>
    </row>
    <row r="184" spans="1:36" ht="12.75" x14ac:dyDescent="0.2">
      <c r="A184" s="77" t="s">
        <v>774</v>
      </c>
      <c r="B184" s="77">
        <v>0.24199999999999999</v>
      </c>
      <c r="C184" s="77">
        <v>0.24199999999999999</v>
      </c>
      <c r="D184" s="77">
        <v>0.24199999999999999</v>
      </c>
      <c r="E184" s="77">
        <v>0.24199999999999999</v>
      </c>
      <c r="F184" s="77">
        <v>0.24199999999999999</v>
      </c>
      <c r="G184" s="77">
        <v>0.24199999999999999</v>
      </c>
      <c r="H184" s="77">
        <v>0.24199999999999999</v>
      </c>
      <c r="I184" s="77">
        <v>0.24199999999999999</v>
      </c>
      <c r="J184" s="77">
        <v>0.24199999999999999</v>
      </c>
      <c r="K184" s="77">
        <v>0.24199999999999999</v>
      </c>
      <c r="L184" s="77">
        <v>0.24199999999999999</v>
      </c>
      <c r="M184" s="77">
        <v>0.24199999999999999</v>
      </c>
      <c r="N184" s="77">
        <v>0.24199999999999999</v>
      </c>
      <c r="O184" s="77">
        <v>0.24199999999999999</v>
      </c>
      <c r="P184" s="77">
        <v>0.24199999999999999</v>
      </c>
      <c r="Q184" s="77">
        <v>0.24199999999999999</v>
      </c>
      <c r="R184" s="77">
        <v>0.24199999999999999</v>
      </c>
      <c r="S184" s="77">
        <v>0.24199999999999999</v>
      </c>
      <c r="T184" s="77">
        <v>0.24199999999999999</v>
      </c>
      <c r="U184" s="77">
        <v>0.24199999999999999</v>
      </c>
      <c r="V184" s="77">
        <v>0.24199999999999999</v>
      </c>
      <c r="W184" s="77">
        <v>0.24199999999999999</v>
      </c>
      <c r="X184" s="77">
        <v>0.24199999999999999</v>
      </c>
      <c r="Y184" s="77">
        <v>0.24199999999999999</v>
      </c>
      <c r="Z184" s="77">
        <v>0.24199999999999999</v>
      </c>
      <c r="AA184" s="77">
        <v>0.24199999999999999</v>
      </c>
      <c r="AB184" s="77">
        <v>0.24199999999999999</v>
      </c>
      <c r="AC184" s="77">
        <v>0.24199999999999999</v>
      </c>
      <c r="AD184" s="77">
        <v>0.24199999999999999</v>
      </c>
      <c r="AE184" s="77">
        <v>0.24199999999999999</v>
      </c>
      <c r="AF184" s="77">
        <v>0.24199999999999999</v>
      </c>
      <c r="AG184" s="77"/>
      <c r="AH184" s="77"/>
      <c r="AI184" s="77"/>
      <c r="AJ184" s="77"/>
    </row>
    <row r="185" spans="1:36" ht="12.75" x14ac:dyDescent="0.2">
      <c r="A185" s="77" t="s">
        <v>775</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2.75" x14ac:dyDescent="0.2">
      <c r="A186" s="77" t="s">
        <v>776</v>
      </c>
      <c r="B186" s="77">
        <v>0.24299999999999999</v>
      </c>
      <c r="C186" s="77">
        <v>0.245</v>
      </c>
      <c r="D186" s="77">
        <v>0.247</v>
      </c>
      <c r="E186" s="77">
        <v>0.249</v>
      </c>
      <c r="F186" s="77">
        <v>0.252</v>
      </c>
      <c r="G186" s="77">
        <v>0.254</v>
      </c>
      <c r="H186" s="77">
        <v>0.25600000000000001</v>
      </c>
      <c r="I186" s="77">
        <v>0.25900000000000001</v>
      </c>
      <c r="J186" s="77">
        <v>0.26100000000000001</v>
      </c>
      <c r="K186" s="77">
        <v>0.26300000000000001</v>
      </c>
      <c r="L186" s="77">
        <v>0.26600000000000001</v>
      </c>
      <c r="M186" s="77">
        <v>0.26700000000000002</v>
      </c>
      <c r="N186" s="77">
        <v>0.26800000000000002</v>
      </c>
      <c r="O186" s="77">
        <v>0.26900000000000002</v>
      </c>
      <c r="P186" s="77">
        <v>0.27</v>
      </c>
      <c r="Q186" s="77">
        <v>0.27100000000000002</v>
      </c>
      <c r="R186" s="77">
        <v>0.27200000000000002</v>
      </c>
      <c r="S186" s="77">
        <v>0.27300000000000002</v>
      </c>
      <c r="T186" s="77">
        <v>0.27400000000000002</v>
      </c>
      <c r="U186" s="77">
        <v>0.27500000000000002</v>
      </c>
      <c r="V186" s="77">
        <v>0.27600000000000002</v>
      </c>
      <c r="W186" s="77">
        <v>0.27700000000000002</v>
      </c>
      <c r="X186" s="77">
        <v>0.27800000000000002</v>
      </c>
      <c r="Y186" s="77">
        <v>0.27900000000000003</v>
      </c>
      <c r="Z186" s="77">
        <v>0.28000000000000003</v>
      </c>
      <c r="AA186" s="77">
        <v>0.28100000000000003</v>
      </c>
      <c r="AB186" s="77">
        <v>0.28199999999999997</v>
      </c>
      <c r="AC186" s="77">
        <v>0.28299999999999997</v>
      </c>
      <c r="AD186" s="77">
        <v>0.28399999999999997</v>
      </c>
      <c r="AE186" s="77">
        <v>0.28499999999999998</v>
      </c>
      <c r="AF186" s="77">
        <v>0.28599999999999998</v>
      </c>
      <c r="AG186" s="77"/>
      <c r="AH186" s="77"/>
      <c r="AI186" s="77"/>
      <c r="AJ186" s="77"/>
    </row>
    <row r="187" spans="1:36" ht="12.75" x14ac:dyDescent="0.2">
      <c r="A187" s="77" t="s">
        <v>777</v>
      </c>
      <c r="B187" s="77">
        <v>0.20599999999999999</v>
      </c>
      <c r="C187" s="77">
        <v>0.20599999999999999</v>
      </c>
      <c r="D187" s="77">
        <v>0.20599999999999999</v>
      </c>
      <c r="E187" s="77">
        <v>0.20599999999999999</v>
      </c>
      <c r="F187" s="77">
        <v>0.20599999999999999</v>
      </c>
      <c r="G187" s="77">
        <v>0.20599999999999999</v>
      </c>
      <c r="H187" s="77">
        <v>0.20599999999999999</v>
      </c>
      <c r="I187" s="77">
        <v>0.20599999999999999</v>
      </c>
      <c r="J187" s="77">
        <v>0.20599999999999999</v>
      </c>
      <c r="K187" s="77">
        <v>0.20599999999999999</v>
      </c>
      <c r="L187" s="77">
        <v>0.20599999999999999</v>
      </c>
      <c r="M187" s="77">
        <v>0.20599999999999999</v>
      </c>
      <c r="N187" s="77">
        <v>0.20599999999999999</v>
      </c>
      <c r="O187" s="77">
        <v>0.20599999999999999</v>
      </c>
      <c r="P187" s="77">
        <v>0.20599999999999999</v>
      </c>
      <c r="Q187" s="77">
        <v>0.20599999999999999</v>
      </c>
      <c r="R187" s="77">
        <v>0.20599999999999999</v>
      </c>
      <c r="S187" s="77">
        <v>0.20599999999999999</v>
      </c>
      <c r="T187" s="77">
        <v>0.20599999999999999</v>
      </c>
      <c r="U187" s="77">
        <v>0.20599999999999999</v>
      </c>
      <c r="V187" s="77">
        <v>0.20599999999999999</v>
      </c>
      <c r="W187" s="77">
        <v>0.20599999999999999</v>
      </c>
      <c r="X187" s="77">
        <v>0.20599999999999999</v>
      </c>
      <c r="Y187" s="77">
        <v>0.20599999999999999</v>
      </c>
      <c r="Z187" s="77">
        <v>0.20599999999999999</v>
      </c>
      <c r="AA187" s="77">
        <v>0.20599999999999999</v>
      </c>
      <c r="AB187" s="77">
        <v>0.20599999999999999</v>
      </c>
      <c r="AC187" s="77">
        <v>0.20599999999999999</v>
      </c>
      <c r="AD187" s="77">
        <v>0.20599999999999999</v>
      </c>
      <c r="AE187" s="77">
        <v>0.20599999999999999</v>
      </c>
      <c r="AF187" s="77">
        <v>0.20599999999999999</v>
      </c>
      <c r="AG187" s="77"/>
      <c r="AH187" s="77"/>
      <c r="AI187" s="77"/>
      <c r="AJ187" s="77"/>
    </row>
    <row r="188" spans="1:36" ht="12.75" x14ac:dyDescent="0.2">
      <c r="A188" s="77" t="s">
        <v>778</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2.75" x14ac:dyDescent="0.2">
      <c r="A189" s="77" t="s">
        <v>779</v>
      </c>
      <c r="B189" s="77">
        <v>0.57599999999999996</v>
      </c>
      <c r="C189" s="77">
        <v>0.57599999999999996</v>
      </c>
      <c r="D189" s="77">
        <v>0.57599999999999996</v>
      </c>
      <c r="E189" s="77">
        <v>0.57599999999999996</v>
      </c>
      <c r="F189" s="77">
        <v>0.57599999999999996</v>
      </c>
      <c r="G189" s="77">
        <v>0.57599999999999996</v>
      </c>
      <c r="H189" s="77">
        <v>0.57599999999999996</v>
      </c>
      <c r="I189" s="77">
        <v>0.57599999999999996</v>
      </c>
      <c r="J189" s="77">
        <v>0.57599999999999996</v>
      </c>
      <c r="K189" s="77">
        <v>0.57599999999999996</v>
      </c>
      <c r="L189" s="77">
        <v>0.57599999999999996</v>
      </c>
      <c r="M189" s="77">
        <v>0.57599999999999996</v>
      </c>
      <c r="N189" s="77">
        <v>0.57599999999999996</v>
      </c>
      <c r="O189" s="77">
        <v>0.57599999999999996</v>
      </c>
      <c r="P189" s="77">
        <v>0.57599999999999996</v>
      </c>
      <c r="Q189" s="77">
        <v>0.57599999999999996</v>
      </c>
      <c r="R189" s="77">
        <v>0.57599999999999996</v>
      </c>
      <c r="S189" s="77">
        <v>0.57599999999999996</v>
      </c>
      <c r="T189" s="77">
        <v>0.57599999999999996</v>
      </c>
      <c r="U189" s="77">
        <v>0.57599999999999996</v>
      </c>
      <c r="V189" s="77">
        <v>0.57599999999999996</v>
      </c>
      <c r="W189" s="77">
        <v>0.57599999999999996</v>
      </c>
      <c r="X189" s="77">
        <v>0.57599999999999996</v>
      </c>
      <c r="Y189" s="77">
        <v>0.57599999999999996</v>
      </c>
      <c r="Z189" s="77">
        <v>0.57599999999999996</v>
      </c>
      <c r="AA189" s="77">
        <v>0.57599999999999996</v>
      </c>
      <c r="AB189" s="77">
        <v>0.57599999999999996</v>
      </c>
      <c r="AC189" s="77">
        <v>0.57599999999999996</v>
      </c>
      <c r="AD189" s="77">
        <v>0.57599999999999996</v>
      </c>
      <c r="AE189" s="77">
        <v>0.57599999999999996</v>
      </c>
      <c r="AF189" s="77">
        <v>0.57599999999999996</v>
      </c>
      <c r="AG189" s="77"/>
      <c r="AH189" s="77"/>
      <c r="AI189" s="77"/>
      <c r="AJ189" s="77"/>
    </row>
    <row r="190" spans="1:36" ht="12.75" x14ac:dyDescent="0.2">
      <c r="A190" s="77" t="s">
        <v>780</v>
      </c>
      <c r="B190" s="77">
        <v>0.625</v>
      </c>
      <c r="C190" s="77">
        <v>0.625</v>
      </c>
      <c r="D190" s="77">
        <v>0.625</v>
      </c>
      <c r="E190" s="77">
        <v>0.625</v>
      </c>
      <c r="F190" s="77">
        <v>0.625</v>
      </c>
      <c r="G190" s="77">
        <v>0.625</v>
      </c>
      <c r="H190" s="77">
        <v>0.625</v>
      </c>
      <c r="I190" s="77">
        <v>0.625</v>
      </c>
      <c r="J190" s="77">
        <v>0.625</v>
      </c>
      <c r="K190" s="77">
        <v>0.625</v>
      </c>
      <c r="L190" s="77">
        <v>0.625</v>
      </c>
      <c r="M190" s="77">
        <v>0.625</v>
      </c>
      <c r="N190" s="77">
        <v>0.625</v>
      </c>
      <c r="O190" s="77">
        <v>0.625</v>
      </c>
      <c r="P190" s="77">
        <v>0.625</v>
      </c>
      <c r="Q190" s="77">
        <v>0.625</v>
      </c>
      <c r="R190" s="77">
        <v>0.625</v>
      </c>
      <c r="S190" s="77">
        <v>0.625</v>
      </c>
      <c r="T190" s="77">
        <v>0.625</v>
      </c>
      <c r="U190" s="77">
        <v>0.625</v>
      </c>
      <c r="V190" s="77">
        <v>0.625</v>
      </c>
      <c r="W190" s="77">
        <v>0.625</v>
      </c>
      <c r="X190" s="77">
        <v>0.625</v>
      </c>
      <c r="Y190" s="77">
        <v>0.625</v>
      </c>
      <c r="Z190" s="77">
        <v>0.625</v>
      </c>
      <c r="AA190" s="77">
        <v>0.625</v>
      </c>
      <c r="AB190" s="77">
        <v>0.625</v>
      </c>
      <c r="AC190" s="77">
        <v>0.625</v>
      </c>
      <c r="AD190" s="77">
        <v>0.625</v>
      </c>
      <c r="AE190" s="77">
        <v>0.625</v>
      </c>
      <c r="AF190" s="77">
        <v>0.625</v>
      </c>
      <c r="AG190" s="77"/>
      <c r="AH190" s="77"/>
      <c r="AI190" s="77"/>
      <c r="AJ190" s="77"/>
    </row>
    <row r="191" spans="1:36" ht="12.75" x14ac:dyDescent="0.2">
      <c r="A191" s="77" t="s">
        <v>781</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2.75" x14ac:dyDescent="0.2">
      <c r="A192" s="77" t="s">
        <v>782</v>
      </c>
      <c r="B192" s="77">
        <v>0.68799999999999994</v>
      </c>
      <c r="C192" s="77">
        <v>0.68799999999999994</v>
      </c>
      <c r="D192" s="77">
        <v>0.68799999999999994</v>
      </c>
      <c r="E192" s="77">
        <v>0.68799999999999994</v>
      </c>
      <c r="F192" s="77">
        <v>0.68799999999999994</v>
      </c>
      <c r="G192" s="77">
        <v>0.68799999999999994</v>
      </c>
      <c r="H192" s="77">
        <v>0.68799999999999994</v>
      </c>
      <c r="I192" s="77">
        <v>0.68799999999999994</v>
      </c>
      <c r="J192" s="77">
        <v>0.68799999999999994</v>
      </c>
      <c r="K192" s="77">
        <v>0.68799999999999994</v>
      </c>
      <c r="L192" s="77">
        <v>0.68799999999999994</v>
      </c>
      <c r="M192" s="77">
        <v>0.68799999999999994</v>
      </c>
      <c r="N192" s="77">
        <v>0.68799999999999994</v>
      </c>
      <c r="O192" s="77">
        <v>0.68799999999999994</v>
      </c>
      <c r="P192" s="77">
        <v>0.68799999999999994</v>
      </c>
      <c r="Q192" s="77">
        <v>0.68799999999999994</v>
      </c>
      <c r="R192" s="77">
        <v>0.68799999999999994</v>
      </c>
      <c r="S192" s="77">
        <v>0.68799999999999994</v>
      </c>
      <c r="T192" s="77">
        <v>0.68799999999999994</v>
      </c>
      <c r="U192" s="77">
        <v>0.68799999999999994</v>
      </c>
      <c r="V192" s="77">
        <v>0.68799999999999994</v>
      </c>
      <c r="W192" s="77">
        <v>0.68799999999999994</v>
      </c>
      <c r="X192" s="77">
        <v>0.68799999999999994</v>
      </c>
      <c r="Y192" s="77">
        <v>0.68799999999999994</v>
      </c>
      <c r="Z192" s="77">
        <v>0.68799999999999994</v>
      </c>
      <c r="AA192" s="77">
        <v>0.68799999999999994</v>
      </c>
      <c r="AB192" s="77">
        <v>0.68799999999999994</v>
      </c>
      <c r="AC192" s="77">
        <v>0.68799999999999994</v>
      </c>
      <c r="AD192" s="77">
        <v>0.68799999999999994</v>
      </c>
      <c r="AE192" s="77">
        <v>0.68799999999999994</v>
      </c>
      <c r="AF192" s="77">
        <v>0.68799999999999994</v>
      </c>
      <c r="AG192" s="77"/>
      <c r="AH192" s="77"/>
      <c r="AI192" s="77"/>
      <c r="AJ192" s="77"/>
    </row>
    <row r="193" spans="1:36" ht="12.75" x14ac:dyDescent="0.2">
      <c r="A193" s="77" t="s">
        <v>783</v>
      </c>
      <c r="B193" s="77">
        <v>0.69099999999999995</v>
      </c>
      <c r="C193" s="77">
        <v>0.69099999999999995</v>
      </c>
      <c r="D193" s="77">
        <v>0.69099999999999995</v>
      </c>
      <c r="E193" s="77">
        <v>0.69099999999999995</v>
      </c>
      <c r="F193" s="77">
        <v>0.69099999999999995</v>
      </c>
      <c r="G193" s="77">
        <v>0.69099999999999995</v>
      </c>
      <c r="H193" s="77">
        <v>0.69099999999999995</v>
      </c>
      <c r="I193" s="77">
        <v>0.69099999999999995</v>
      </c>
      <c r="J193" s="77">
        <v>0.69099999999999995</v>
      </c>
      <c r="K193" s="77">
        <v>0.69099999999999995</v>
      </c>
      <c r="L193" s="77">
        <v>0.69099999999999995</v>
      </c>
      <c r="M193" s="77">
        <v>0.69099999999999995</v>
      </c>
      <c r="N193" s="77">
        <v>0.69099999999999995</v>
      </c>
      <c r="O193" s="77">
        <v>0.69099999999999995</v>
      </c>
      <c r="P193" s="77">
        <v>0.69099999999999995</v>
      </c>
      <c r="Q193" s="77">
        <v>0.69099999999999995</v>
      </c>
      <c r="R193" s="77">
        <v>0.69099999999999995</v>
      </c>
      <c r="S193" s="77">
        <v>0.69099999999999995</v>
      </c>
      <c r="T193" s="77">
        <v>0.69099999999999995</v>
      </c>
      <c r="U193" s="77">
        <v>0.69099999999999995</v>
      </c>
      <c r="V193" s="77">
        <v>0.69099999999999995</v>
      </c>
      <c r="W193" s="77">
        <v>0.69099999999999995</v>
      </c>
      <c r="X193" s="77">
        <v>0.69099999999999995</v>
      </c>
      <c r="Y193" s="77">
        <v>0.69099999999999995</v>
      </c>
      <c r="Z193" s="77">
        <v>0.69099999999999995</v>
      </c>
      <c r="AA193" s="77">
        <v>0.69099999999999995</v>
      </c>
      <c r="AB193" s="77">
        <v>0.69099999999999995</v>
      </c>
      <c r="AC193" s="77">
        <v>0.69099999999999995</v>
      </c>
      <c r="AD193" s="77">
        <v>0.69099999999999995</v>
      </c>
      <c r="AE193" s="77">
        <v>0.69099999999999995</v>
      </c>
      <c r="AF193" s="77">
        <v>0.69099999999999995</v>
      </c>
      <c r="AG193" s="77"/>
      <c r="AH193" s="77"/>
      <c r="AI193" s="77"/>
      <c r="AJ193" s="77"/>
    </row>
    <row r="194" spans="1:36" ht="12.75" x14ac:dyDescent="0.2">
      <c r="A194" s="77" t="s">
        <v>784</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2.75" x14ac:dyDescent="0.2">
      <c r="A195" s="77" t="s">
        <v>785</v>
      </c>
      <c r="B195" s="77">
        <v>0.76</v>
      </c>
      <c r="C195" s="77">
        <v>0.76</v>
      </c>
      <c r="D195" s="77">
        <v>0.76</v>
      </c>
      <c r="E195" s="77">
        <v>0.76</v>
      </c>
      <c r="F195" s="77">
        <v>0.76</v>
      </c>
      <c r="G195" s="77">
        <v>0.76</v>
      </c>
      <c r="H195" s="77">
        <v>0.76</v>
      </c>
      <c r="I195" s="77">
        <v>0.76</v>
      </c>
      <c r="J195" s="77">
        <v>0.76</v>
      </c>
      <c r="K195" s="77">
        <v>0.76</v>
      </c>
      <c r="L195" s="77">
        <v>0.76</v>
      </c>
      <c r="M195" s="77">
        <v>0.76</v>
      </c>
      <c r="N195" s="77">
        <v>0.76</v>
      </c>
      <c r="O195" s="77">
        <v>0.76</v>
      </c>
      <c r="P195" s="77">
        <v>0.76</v>
      </c>
      <c r="Q195" s="77">
        <v>0.76</v>
      </c>
      <c r="R195" s="77">
        <v>0.76</v>
      </c>
      <c r="S195" s="77">
        <v>0.76</v>
      </c>
      <c r="T195" s="77">
        <v>0.76</v>
      </c>
      <c r="U195" s="77">
        <v>0.76</v>
      </c>
      <c r="V195" s="77">
        <v>0.76</v>
      </c>
      <c r="W195" s="77">
        <v>0.76</v>
      </c>
      <c r="X195" s="77">
        <v>0.76</v>
      </c>
      <c r="Y195" s="77">
        <v>0.76</v>
      </c>
      <c r="Z195" s="77">
        <v>0.76</v>
      </c>
      <c r="AA195" s="77">
        <v>0.76</v>
      </c>
      <c r="AB195" s="77">
        <v>0.76</v>
      </c>
      <c r="AC195" s="77">
        <v>0.76</v>
      </c>
      <c r="AD195" s="77">
        <v>0.76</v>
      </c>
      <c r="AE195" s="77">
        <v>0.76</v>
      </c>
      <c r="AF195" s="77">
        <v>0.76</v>
      </c>
      <c r="AG195" s="77"/>
      <c r="AH195" s="77"/>
      <c r="AI195" s="77"/>
      <c r="AJ195" s="77"/>
    </row>
    <row r="196" spans="1:36" ht="12.75" x14ac:dyDescent="0.2">
      <c r="A196" s="77" t="s">
        <v>786</v>
      </c>
      <c r="B196" s="77">
        <v>5.6000000000000001E-2</v>
      </c>
      <c r="C196" s="77">
        <v>5.6000000000000001E-2</v>
      </c>
      <c r="D196" s="77">
        <v>5.6000000000000001E-2</v>
      </c>
      <c r="E196" s="77">
        <v>5.6000000000000001E-2</v>
      </c>
      <c r="F196" s="77">
        <v>5.6000000000000001E-2</v>
      </c>
      <c r="G196" s="77">
        <v>5.6000000000000001E-2</v>
      </c>
      <c r="H196" s="77">
        <v>5.6000000000000001E-2</v>
      </c>
      <c r="I196" s="77">
        <v>5.6000000000000001E-2</v>
      </c>
      <c r="J196" s="77">
        <v>5.6000000000000001E-2</v>
      </c>
      <c r="K196" s="77">
        <v>5.6000000000000001E-2</v>
      </c>
      <c r="L196" s="77">
        <v>5.6000000000000001E-2</v>
      </c>
      <c r="M196" s="77">
        <v>5.6000000000000001E-2</v>
      </c>
      <c r="N196" s="77">
        <v>5.6000000000000001E-2</v>
      </c>
      <c r="O196" s="77">
        <v>5.6000000000000001E-2</v>
      </c>
      <c r="P196" s="77">
        <v>5.6000000000000001E-2</v>
      </c>
      <c r="Q196" s="77">
        <v>5.6000000000000001E-2</v>
      </c>
      <c r="R196" s="77">
        <v>5.6000000000000001E-2</v>
      </c>
      <c r="S196" s="77">
        <v>5.6000000000000001E-2</v>
      </c>
      <c r="T196" s="77">
        <v>5.6000000000000001E-2</v>
      </c>
      <c r="U196" s="77">
        <v>5.6000000000000001E-2</v>
      </c>
      <c r="V196" s="77">
        <v>5.6000000000000001E-2</v>
      </c>
      <c r="W196" s="77">
        <v>5.6000000000000001E-2</v>
      </c>
      <c r="X196" s="77">
        <v>5.6000000000000001E-2</v>
      </c>
      <c r="Y196" s="77">
        <v>5.6000000000000001E-2</v>
      </c>
      <c r="Z196" s="77">
        <v>5.6000000000000001E-2</v>
      </c>
      <c r="AA196" s="77">
        <v>5.6000000000000001E-2</v>
      </c>
      <c r="AB196" s="77">
        <v>5.6000000000000001E-2</v>
      </c>
      <c r="AC196" s="77">
        <v>5.6000000000000001E-2</v>
      </c>
      <c r="AD196" s="77">
        <v>5.6000000000000001E-2</v>
      </c>
      <c r="AE196" s="77">
        <v>5.6000000000000001E-2</v>
      </c>
      <c r="AF196" s="77">
        <v>5.6000000000000001E-2</v>
      </c>
      <c r="AG196" s="77"/>
      <c r="AH196" s="77"/>
      <c r="AI196" s="77"/>
      <c r="AJ196" s="77"/>
    </row>
    <row r="197" spans="1:36" ht="12.75" x14ac:dyDescent="0.2">
      <c r="A197" s="77" t="s">
        <v>787</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2.75" x14ac:dyDescent="0.2">
      <c r="A198" s="77" t="s">
        <v>788</v>
      </c>
      <c r="B198" s="77">
        <v>6.2E-2</v>
      </c>
      <c r="C198" s="77">
        <v>6.2E-2</v>
      </c>
      <c r="D198" s="77">
        <v>6.2E-2</v>
      </c>
      <c r="E198" s="77">
        <v>6.2E-2</v>
      </c>
      <c r="F198" s="77">
        <v>6.2E-2</v>
      </c>
      <c r="G198" s="77">
        <v>6.2E-2</v>
      </c>
      <c r="H198" s="77">
        <v>6.2E-2</v>
      </c>
      <c r="I198" s="77">
        <v>6.2E-2</v>
      </c>
      <c r="J198" s="77">
        <v>6.2E-2</v>
      </c>
      <c r="K198" s="77">
        <v>6.2E-2</v>
      </c>
      <c r="L198" s="77">
        <v>6.2E-2</v>
      </c>
      <c r="M198" s="77">
        <v>6.2E-2</v>
      </c>
      <c r="N198" s="77">
        <v>6.2E-2</v>
      </c>
      <c r="O198" s="77">
        <v>6.2E-2</v>
      </c>
      <c r="P198" s="77">
        <v>6.2E-2</v>
      </c>
      <c r="Q198" s="77">
        <v>6.2E-2</v>
      </c>
      <c r="R198" s="77">
        <v>6.2E-2</v>
      </c>
      <c r="S198" s="77">
        <v>6.2E-2</v>
      </c>
      <c r="T198" s="77">
        <v>6.2E-2</v>
      </c>
      <c r="U198" s="77">
        <v>6.2E-2</v>
      </c>
      <c r="V198" s="77">
        <v>6.2E-2</v>
      </c>
      <c r="W198" s="77">
        <v>6.2E-2</v>
      </c>
      <c r="X198" s="77">
        <v>6.2E-2</v>
      </c>
      <c r="Y198" s="77">
        <v>6.2E-2</v>
      </c>
      <c r="Z198" s="77">
        <v>6.2E-2</v>
      </c>
      <c r="AA198" s="77">
        <v>6.2E-2</v>
      </c>
      <c r="AB198" s="77">
        <v>6.2E-2</v>
      </c>
      <c r="AC198" s="77">
        <v>6.2E-2</v>
      </c>
      <c r="AD198" s="77">
        <v>6.2E-2</v>
      </c>
      <c r="AE198" s="77">
        <v>6.2E-2</v>
      </c>
      <c r="AF198" s="77">
        <v>6.2E-2</v>
      </c>
      <c r="AG198" s="77"/>
      <c r="AH198" s="77"/>
      <c r="AI198" s="77"/>
      <c r="AJ198" s="77"/>
    </row>
    <row r="199" spans="1:36" ht="12.75" x14ac:dyDescent="0.2">
      <c r="A199" s="77" t="s">
        <v>789</v>
      </c>
      <c r="B199" s="77">
        <v>0.13300000000000001</v>
      </c>
      <c r="C199" s="77">
        <v>0.13300000000000001</v>
      </c>
      <c r="D199" s="77">
        <v>0.13300000000000001</v>
      </c>
      <c r="E199" s="77">
        <v>0.13300000000000001</v>
      </c>
      <c r="F199" s="77">
        <v>0.13300000000000001</v>
      </c>
      <c r="G199" s="77">
        <v>0.13300000000000001</v>
      </c>
      <c r="H199" s="77">
        <v>0.13300000000000001</v>
      </c>
      <c r="I199" s="77">
        <v>0.13300000000000001</v>
      </c>
      <c r="J199" s="77">
        <v>0.13300000000000001</v>
      </c>
      <c r="K199" s="77">
        <v>0.13300000000000001</v>
      </c>
      <c r="L199" s="77">
        <v>0.13300000000000001</v>
      </c>
      <c r="M199" s="77">
        <v>0.13300000000000001</v>
      </c>
      <c r="N199" s="77">
        <v>0.13300000000000001</v>
      </c>
      <c r="O199" s="77">
        <v>0.13300000000000001</v>
      </c>
      <c r="P199" s="77">
        <v>0.13300000000000001</v>
      </c>
      <c r="Q199" s="77">
        <v>0.13300000000000001</v>
      </c>
      <c r="R199" s="77">
        <v>0.13300000000000001</v>
      </c>
      <c r="S199" s="77">
        <v>0.13300000000000001</v>
      </c>
      <c r="T199" s="77">
        <v>0.13300000000000001</v>
      </c>
      <c r="U199" s="77">
        <v>0.13300000000000001</v>
      </c>
      <c r="V199" s="77">
        <v>0.13300000000000001</v>
      </c>
      <c r="W199" s="77">
        <v>0.13300000000000001</v>
      </c>
      <c r="X199" s="77">
        <v>0.13300000000000001</v>
      </c>
      <c r="Y199" s="77">
        <v>0.13300000000000001</v>
      </c>
      <c r="Z199" s="77">
        <v>0.13300000000000001</v>
      </c>
      <c r="AA199" s="77">
        <v>0.13300000000000001</v>
      </c>
      <c r="AB199" s="77">
        <v>0.13300000000000001</v>
      </c>
      <c r="AC199" s="77">
        <v>0.13300000000000001</v>
      </c>
      <c r="AD199" s="77">
        <v>0.13300000000000001</v>
      </c>
      <c r="AE199" s="77">
        <v>0.13300000000000001</v>
      </c>
      <c r="AF199" s="77">
        <v>0.13300000000000001</v>
      </c>
      <c r="AG199" s="77"/>
      <c r="AH199" s="77"/>
      <c r="AI199" s="77"/>
      <c r="AJ199" s="77"/>
    </row>
    <row r="200" spans="1:36" ht="12.75" x14ac:dyDescent="0.2">
      <c r="A200" s="77" t="s">
        <v>790</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2.75" x14ac:dyDescent="0.2">
      <c r="A201" s="77" t="s">
        <v>791</v>
      </c>
      <c r="B201" s="77">
        <v>0.14599999999999999</v>
      </c>
      <c r="C201" s="77">
        <v>0.14599999999999999</v>
      </c>
      <c r="D201" s="77">
        <v>0.14599999999999999</v>
      </c>
      <c r="E201" s="77">
        <v>0.14599999999999999</v>
      </c>
      <c r="F201" s="77">
        <v>0.14599999999999999</v>
      </c>
      <c r="G201" s="77">
        <v>0.14599999999999999</v>
      </c>
      <c r="H201" s="77">
        <v>0.14599999999999999</v>
      </c>
      <c r="I201" s="77">
        <v>0.14599999999999999</v>
      </c>
      <c r="J201" s="77">
        <v>0.14599999999999999</v>
      </c>
      <c r="K201" s="77">
        <v>0.14599999999999999</v>
      </c>
      <c r="L201" s="77">
        <v>0.14599999999999999</v>
      </c>
      <c r="M201" s="77">
        <v>0.14599999999999999</v>
      </c>
      <c r="N201" s="77">
        <v>0.14599999999999999</v>
      </c>
      <c r="O201" s="77">
        <v>0.14599999999999999</v>
      </c>
      <c r="P201" s="77">
        <v>0.14599999999999999</v>
      </c>
      <c r="Q201" s="77">
        <v>0.14599999999999999</v>
      </c>
      <c r="R201" s="77">
        <v>0.14599999999999999</v>
      </c>
      <c r="S201" s="77">
        <v>0.14599999999999999</v>
      </c>
      <c r="T201" s="77">
        <v>0.14599999999999999</v>
      </c>
      <c r="U201" s="77">
        <v>0.14599999999999999</v>
      </c>
      <c r="V201" s="77">
        <v>0.14599999999999999</v>
      </c>
      <c r="W201" s="77">
        <v>0.14599999999999999</v>
      </c>
      <c r="X201" s="77">
        <v>0.14599999999999999</v>
      </c>
      <c r="Y201" s="77">
        <v>0.14599999999999999</v>
      </c>
      <c r="Z201" s="77">
        <v>0.14599999999999999</v>
      </c>
      <c r="AA201" s="77">
        <v>0.14599999999999999</v>
      </c>
      <c r="AB201" s="77">
        <v>0.14599999999999999</v>
      </c>
      <c r="AC201" s="77">
        <v>0.14599999999999999</v>
      </c>
      <c r="AD201" s="77">
        <v>0.14599999999999999</v>
      </c>
      <c r="AE201" s="77">
        <v>0.14599999999999999</v>
      </c>
      <c r="AF201" s="77">
        <v>0.14599999999999999</v>
      </c>
      <c r="AG201" s="77"/>
      <c r="AH201" s="77"/>
      <c r="AI201" s="77"/>
      <c r="AJ201" s="77"/>
    </row>
    <row r="202" spans="1:36" ht="12.75" x14ac:dyDescent="0.2">
      <c r="A202" s="77" t="s">
        <v>792</v>
      </c>
      <c r="B202" s="77">
        <v>0.75800000000000001</v>
      </c>
      <c r="C202" s="77">
        <v>0.75800000000000001</v>
      </c>
      <c r="D202" s="77">
        <v>0.75800000000000001</v>
      </c>
      <c r="E202" s="77">
        <v>0.75800000000000001</v>
      </c>
      <c r="F202" s="77">
        <v>0.75800000000000001</v>
      </c>
      <c r="G202" s="77">
        <v>0.75800000000000001</v>
      </c>
      <c r="H202" s="77">
        <v>0.75800000000000001</v>
      </c>
      <c r="I202" s="77">
        <v>0.75800000000000001</v>
      </c>
      <c r="J202" s="77">
        <v>0.75800000000000001</v>
      </c>
      <c r="K202" s="77">
        <v>0.75800000000000001</v>
      </c>
      <c r="L202" s="77">
        <v>0.75800000000000001</v>
      </c>
      <c r="M202" s="77">
        <v>0.75800000000000001</v>
      </c>
      <c r="N202" s="77">
        <v>0.75800000000000001</v>
      </c>
      <c r="O202" s="77">
        <v>0.75800000000000001</v>
      </c>
      <c r="P202" s="77">
        <v>0.75800000000000001</v>
      </c>
      <c r="Q202" s="77">
        <v>0.75800000000000001</v>
      </c>
      <c r="R202" s="77">
        <v>0.75800000000000001</v>
      </c>
      <c r="S202" s="77">
        <v>0.75800000000000001</v>
      </c>
      <c r="T202" s="77">
        <v>0.75800000000000001</v>
      </c>
      <c r="U202" s="77">
        <v>0.75800000000000001</v>
      </c>
      <c r="V202" s="77">
        <v>0.75800000000000001</v>
      </c>
      <c r="W202" s="77">
        <v>0.75800000000000001</v>
      </c>
      <c r="X202" s="77">
        <v>0.75800000000000001</v>
      </c>
      <c r="Y202" s="77">
        <v>0.75800000000000001</v>
      </c>
      <c r="Z202" s="77">
        <v>0.75800000000000001</v>
      </c>
      <c r="AA202" s="77">
        <v>0.75800000000000001</v>
      </c>
      <c r="AB202" s="77">
        <v>0.75800000000000001</v>
      </c>
      <c r="AC202" s="77">
        <v>0.75800000000000001</v>
      </c>
      <c r="AD202" s="77">
        <v>0.75800000000000001</v>
      </c>
      <c r="AE202" s="77">
        <v>0.75800000000000001</v>
      </c>
      <c r="AF202" s="77">
        <v>0.75800000000000001</v>
      </c>
      <c r="AG202" s="77"/>
      <c r="AH202" s="77"/>
      <c r="AI202" s="77"/>
      <c r="AJ202" s="77"/>
    </row>
    <row r="203" spans="1:36" ht="12.75" x14ac:dyDescent="0.2">
      <c r="A203" s="77" t="s">
        <v>793</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2.75" x14ac:dyDescent="0.2">
      <c r="A204" s="77" t="s">
        <v>794</v>
      </c>
      <c r="B204" s="77">
        <v>0.83399999999999996</v>
      </c>
      <c r="C204" s="77">
        <v>0.83399999999999996</v>
      </c>
      <c r="D204" s="77">
        <v>0.83399999999999996</v>
      </c>
      <c r="E204" s="77">
        <v>0.83399999999999996</v>
      </c>
      <c r="F204" s="77">
        <v>0.83399999999999996</v>
      </c>
      <c r="G204" s="77">
        <v>0.83399999999999996</v>
      </c>
      <c r="H204" s="77">
        <v>0.83399999999999996</v>
      </c>
      <c r="I204" s="77">
        <v>0.83399999999999996</v>
      </c>
      <c r="J204" s="77">
        <v>0.83399999999999996</v>
      </c>
      <c r="K204" s="77">
        <v>0.83399999999999996</v>
      </c>
      <c r="L204" s="77">
        <v>0.83399999999999996</v>
      </c>
      <c r="M204" s="77">
        <v>0.83399999999999996</v>
      </c>
      <c r="N204" s="77">
        <v>0.83399999999999996</v>
      </c>
      <c r="O204" s="77">
        <v>0.83399999999999996</v>
      </c>
      <c r="P204" s="77">
        <v>0.83399999999999996</v>
      </c>
      <c r="Q204" s="77">
        <v>0.83399999999999996</v>
      </c>
      <c r="R204" s="77">
        <v>0.83399999999999996</v>
      </c>
      <c r="S204" s="77">
        <v>0.83399999999999996</v>
      </c>
      <c r="T204" s="77">
        <v>0.83399999999999996</v>
      </c>
      <c r="U204" s="77">
        <v>0.83399999999999996</v>
      </c>
      <c r="V204" s="77">
        <v>0.83399999999999996</v>
      </c>
      <c r="W204" s="77">
        <v>0.83399999999999996</v>
      </c>
      <c r="X204" s="77">
        <v>0.83399999999999996</v>
      </c>
      <c r="Y204" s="77">
        <v>0.83399999999999996</v>
      </c>
      <c r="Z204" s="77">
        <v>0.83399999999999996</v>
      </c>
      <c r="AA204" s="77">
        <v>0.83399999999999996</v>
      </c>
      <c r="AB204" s="77">
        <v>0.83399999999999996</v>
      </c>
      <c r="AC204" s="77">
        <v>0.83399999999999996</v>
      </c>
      <c r="AD204" s="77">
        <v>0.83399999999999996</v>
      </c>
      <c r="AE204" s="77">
        <v>0.83399999999999996</v>
      </c>
      <c r="AF204" s="77">
        <v>0.83399999999999996</v>
      </c>
      <c r="AG204" s="77"/>
      <c r="AH204" s="77"/>
      <c r="AI204" s="77"/>
      <c r="AJ204" s="77"/>
    </row>
    <row r="205" spans="1:36" ht="12.75" x14ac:dyDescent="0.2">
      <c r="A205" s="77" t="s">
        <v>795</v>
      </c>
      <c r="B205" s="77">
        <v>0.49199999999999999</v>
      </c>
      <c r="C205" s="77">
        <v>0.49199999999999999</v>
      </c>
      <c r="D205" s="77">
        <v>0.49199999999999999</v>
      </c>
      <c r="E205" s="77">
        <v>0.49199999999999999</v>
      </c>
      <c r="F205" s="77">
        <v>0.49199999999999999</v>
      </c>
      <c r="G205" s="77">
        <v>0.49199999999999999</v>
      </c>
      <c r="H205" s="77">
        <v>0.49199999999999999</v>
      </c>
      <c r="I205" s="77">
        <v>0.49199999999999999</v>
      </c>
      <c r="J205" s="77">
        <v>0.49199999999999999</v>
      </c>
      <c r="K205" s="77">
        <v>0.49199999999999999</v>
      </c>
      <c r="L205" s="77">
        <v>0.49199999999999999</v>
      </c>
      <c r="M205" s="77">
        <v>0.49199999999999999</v>
      </c>
      <c r="N205" s="77">
        <v>0.49199999999999999</v>
      </c>
      <c r="O205" s="77">
        <v>0.49199999999999999</v>
      </c>
      <c r="P205" s="77">
        <v>0.49199999999999999</v>
      </c>
      <c r="Q205" s="77">
        <v>0.49199999999999999</v>
      </c>
      <c r="R205" s="77">
        <v>0.49199999999999999</v>
      </c>
      <c r="S205" s="77">
        <v>0.49199999999999999</v>
      </c>
      <c r="T205" s="77">
        <v>0.49199999999999999</v>
      </c>
      <c r="U205" s="77">
        <v>0.49199999999999999</v>
      </c>
      <c r="V205" s="77">
        <v>0.49199999999999999</v>
      </c>
      <c r="W205" s="77">
        <v>0.49199999999999999</v>
      </c>
      <c r="X205" s="77">
        <v>0.49199999999999999</v>
      </c>
      <c r="Y205" s="77">
        <v>0.49199999999999999</v>
      </c>
      <c r="Z205" s="77">
        <v>0.49199999999999999</v>
      </c>
      <c r="AA205" s="77">
        <v>0.49199999999999999</v>
      </c>
      <c r="AB205" s="77">
        <v>0.49199999999999999</v>
      </c>
      <c r="AC205" s="77">
        <v>0.49199999999999999</v>
      </c>
      <c r="AD205" s="77">
        <v>0.49199999999999999</v>
      </c>
      <c r="AE205" s="77">
        <v>0.49199999999999999</v>
      </c>
      <c r="AF205" s="77">
        <v>0.49199999999999999</v>
      </c>
      <c r="AG205" s="77"/>
      <c r="AH205" s="77"/>
      <c r="AI205" s="77"/>
      <c r="AJ205" s="77"/>
    </row>
    <row r="206" spans="1:36" ht="12.75" x14ac:dyDescent="0.2">
      <c r="A206" s="77" t="s">
        <v>796</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2.75" x14ac:dyDescent="0.2">
      <c r="A207" s="77" t="s">
        <v>797</v>
      </c>
      <c r="B207" s="77">
        <v>0.49199999999999999</v>
      </c>
      <c r="C207" s="77">
        <v>0.498</v>
      </c>
      <c r="D207" s="77">
        <v>0.503</v>
      </c>
      <c r="E207" s="77">
        <v>0.50800000000000001</v>
      </c>
      <c r="F207" s="77">
        <v>0.51200000000000001</v>
      </c>
      <c r="G207" s="77">
        <v>0.51700000000000002</v>
      </c>
      <c r="H207" s="77">
        <v>0.52100000000000002</v>
      </c>
      <c r="I207" s="77">
        <v>0.52500000000000002</v>
      </c>
      <c r="J207" s="77">
        <v>0.52900000000000003</v>
      </c>
      <c r="K207" s="77">
        <v>0.53300000000000003</v>
      </c>
      <c r="L207" s="77">
        <v>0.53700000000000003</v>
      </c>
      <c r="M207" s="77">
        <v>0.53800000000000003</v>
      </c>
      <c r="N207" s="77">
        <v>0.54</v>
      </c>
      <c r="O207" s="77">
        <v>0.54200000000000004</v>
      </c>
      <c r="P207" s="77">
        <v>0.54300000000000004</v>
      </c>
      <c r="Q207" s="77">
        <v>0.54500000000000004</v>
      </c>
      <c r="R207" s="77">
        <v>0.54600000000000004</v>
      </c>
      <c r="S207" s="77">
        <v>0.54800000000000004</v>
      </c>
      <c r="T207" s="77">
        <v>0.54900000000000004</v>
      </c>
      <c r="U207" s="77">
        <v>0.55100000000000005</v>
      </c>
      <c r="V207" s="77">
        <v>0.55200000000000005</v>
      </c>
      <c r="W207" s="77">
        <v>0.55400000000000005</v>
      </c>
      <c r="X207" s="77">
        <v>0.55500000000000005</v>
      </c>
      <c r="Y207" s="77">
        <v>0.55700000000000005</v>
      </c>
      <c r="Z207" s="77">
        <v>0.55800000000000005</v>
      </c>
      <c r="AA207" s="77">
        <v>0.55900000000000005</v>
      </c>
      <c r="AB207" s="77">
        <v>0.56100000000000005</v>
      </c>
      <c r="AC207" s="77">
        <v>0.56200000000000006</v>
      </c>
      <c r="AD207" s="77">
        <v>0.56299999999999994</v>
      </c>
      <c r="AE207" s="77">
        <v>0.56499999999999995</v>
      </c>
      <c r="AF207" s="77">
        <v>0.56599999999999995</v>
      </c>
      <c r="AG207" s="77"/>
      <c r="AH207" s="77"/>
      <c r="AI207" s="77"/>
      <c r="AJ207" s="77"/>
    </row>
    <row r="208" spans="1:36" ht="12.75" x14ac:dyDescent="0.2">
      <c r="A208" s="77" t="s">
        <v>798</v>
      </c>
      <c r="B208" s="77">
        <v>5.6000000000000001E-2</v>
      </c>
      <c r="C208" s="77">
        <v>5.6000000000000001E-2</v>
      </c>
      <c r="D208" s="77">
        <v>5.6000000000000001E-2</v>
      </c>
      <c r="E208" s="77">
        <v>5.6000000000000001E-2</v>
      </c>
      <c r="F208" s="77">
        <v>5.6000000000000001E-2</v>
      </c>
      <c r="G208" s="77">
        <v>5.6000000000000001E-2</v>
      </c>
      <c r="H208" s="77">
        <v>5.6000000000000001E-2</v>
      </c>
      <c r="I208" s="77">
        <v>5.6000000000000001E-2</v>
      </c>
      <c r="J208" s="77">
        <v>5.6000000000000001E-2</v>
      </c>
      <c r="K208" s="77">
        <v>5.6000000000000001E-2</v>
      </c>
      <c r="L208" s="77">
        <v>5.6000000000000001E-2</v>
      </c>
      <c r="M208" s="77">
        <v>5.6000000000000001E-2</v>
      </c>
      <c r="N208" s="77">
        <v>5.6000000000000001E-2</v>
      </c>
      <c r="O208" s="77">
        <v>5.6000000000000001E-2</v>
      </c>
      <c r="P208" s="77">
        <v>5.6000000000000001E-2</v>
      </c>
      <c r="Q208" s="77">
        <v>5.6000000000000001E-2</v>
      </c>
      <c r="R208" s="77">
        <v>5.6000000000000001E-2</v>
      </c>
      <c r="S208" s="77">
        <v>5.6000000000000001E-2</v>
      </c>
      <c r="T208" s="77">
        <v>5.6000000000000001E-2</v>
      </c>
      <c r="U208" s="77">
        <v>5.6000000000000001E-2</v>
      </c>
      <c r="V208" s="77">
        <v>5.6000000000000001E-2</v>
      </c>
      <c r="W208" s="77">
        <v>5.6000000000000001E-2</v>
      </c>
      <c r="X208" s="77">
        <v>5.6000000000000001E-2</v>
      </c>
      <c r="Y208" s="77">
        <v>5.6000000000000001E-2</v>
      </c>
      <c r="Z208" s="77">
        <v>5.6000000000000001E-2</v>
      </c>
      <c r="AA208" s="77">
        <v>5.6000000000000001E-2</v>
      </c>
      <c r="AB208" s="77">
        <v>5.6000000000000001E-2</v>
      </c>
      <c r="AC208" s="77">
        <v>5.6000000000000001E-2</v>
      </c>
      <c r="AD208" s="77">
        <v>5.6000000000000001E-2</v>
      </c>
      <c r="AE208" s="77">
        <v>5.6000000000000001E-2</v>
      </c>
      <c r="AF208" s="77">
        <v>5.6000000000000001E-2</v>
      </c>
      <c r="AG208" s="77"/>
      <c r="AH208" s="77"/>
      <c r="AI208" s="77"/>
      <c r="AJ208" s="77"/>
    </row>
    <row r="209" spans="1:36" ht="12.75" x14ac:dyDescent="0.2">
      <c r="A209" s="77" t="s">
        <v>799</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2.75" x14ac:dyDescent="0.2">
      <c r="A210" s="77" t="s">
        <v>800</v>
      </c>
      <c r="B210" s="77">
        <v>6.2E-2</v>
      </c>
      <c r="C210" s="77">
        <v>6.2E-2</v>
      </c>
      <c r="D210" s="77">
        <v>6.2E-2</v>
      </c>
      <c r="E210" s="77">
        <v>6.2E-2</v>
      </c>
      <c r="F210" s="77">
        <v>6.2E-2</v>
      </c>
      <c r="G210" s="77">
        <v>6.2E-2</v>
      </c>
      <c r="H210" s="77">
        <v>6.2E-2</v>
      </c>
      <c r="I210" s="77">
        <v>6.2E-2</v>
      </c>
      <c r="J210" s="77">
        <v>6.2E-2</v>
      </c>
      <c r="K210" s="77">
        <v>6.2E-2</v>
      </c>
      <c r="L210" s="77">
        <v>6.2E-2</v>
      </c>
      <c r="M210" s="77">
        <v>6.2E-2</v>
      </c>
      <c r="N210" s="77">
        <v>6.2E-2</v>
      </c>
      <c r="O210" s="77">
        <v>6.2E-2</v>
      </c>
      <c r="P210" s="77">
        <v>6.2E-2</v>
      </c>
      <c r="Q210" s="77">
        <v>6.2E-2</v>
      </c>
      <c r="R210" s="77">
        <v>6.2E-2</v>
      </c>
      <c r="S210" s="77">
        <v>6.2E-2</v>
      </c>
      <c r="T210" s="77">
        <v>6.2E-2</v>
      </c>
      <c r="U210" s="77">
        <v>6.2E-2</v>
      </c>
      <c r="V210" s="77">
        <v>6.2E-2</v>
      </c>
      <c r="W210" s="77">
        <v>6.2E-2</v>
      </c>
      <c r="X210" s="77">
        <v>6.2E-2</v>
      </c>
      <c r="Y210" s="77">
        <v>6.2E-2</v>
      </c>
      <c r="Z210" s="77">
        <v>6.2E-2</v>
      </c>
      <c r="AA210" s="77">
        <v>6.2E-2</v>
      </c>
      <c r="AB210" s="77">
        <v>6.2E-2</v>
      </c>
      <c r="AC210" s="77">
        <v>6.2E-2</v>
      </c>
      <c r="AD210" s="77">
        <v>6.2E-2</v>
      </c>
      <c r="AE210" s="77">
        <v>6.2E-2</v>
      </c>
      <c r="AF210" s="77">
        <v>6.2E-2</v>
      </c>
      <c r="AG210" s="77"/>
      <c r="AH210" s="77"/>
      <c r="AI210" s="77"/>
      <c r="AJ210" s="77"/>
    </row>
    <row r="211" spans="1:36" ht="12.75" x14ac:dyDescent="0.2">
      <c r="A211" s="77" t="s">
        <v>801</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2.75" x14ac:dyDescent="0.2">
      <c r="A212" s="77" t="s">
        <v>802</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2.75" x14ac:dyDescent="0.2">
      <c r="A213" s="77" t="s">
        <v>803</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2.75" x14ac:dyDescent="0.2">
      <c r="A214" s="77" t="s">
        <v>804</v>
      </c>
      <c r="B214" s="77">
        <v>0.64600000000000002</v>
      </c>
      <c r="C214" s="77">
        <v>0.64600000000000002</v>
      </c>
      <c r="D214" s="77">
        <v>0.64600000000000002</v>
      </c>
      <c r="E214" s="77">
        <v>0.64600000000000002</v>
      </c>
      <c r="F214" s="77">
        <v>0.64600000000000002</v>
      </c>
      <c r="G214" s="77">
        <v>0.64600000000000002</v>
      </c>
      <c r="H214" s="77">
        <v>0.64600000000000002</v>
      </c>
      <c r="I214" s="77">
        <v>0.64600000000000002</v>
      </c>
      <c r="J214" s="77">
        <v>0.64600000000000002</v>
      </c>
      <c r="K214" s="77">
        <v>0.64600000000000002</v>
      </c>
      <c r="L214" s="77">
        <v>0.64600000000000002</v>
      </c>
      <c r="M214" s="77">
        <v>0.64600000000000002</v>
      </c>
      <c r="N214" s="77">
        <v>0.64600000000000002</v>
      </c>
      <c r="O214" s="77">
        <v>0.64600000000000002</v>
      </c>
      <c r="P214" s="77">
        <v>0.64600000000000002</v>
      </c>
      <c r="Q214" s="77">
        <v>0.64600000000000002</v>
      </c>
      <c r="R214" s="77">
        <v>0.64600000000000002</v>
      </c>
      <c r="S214" s="77">
        <v>0.64600000000000002</v>
      </c>
      <c r="T214" s="77">
        <v>0.64600000000000002</v>
      </c>
      <c r="U214" s="77">
        <v>0.64600000000000002</v>
      </c>
      <c r="V214" s="77">
        <v>0.64600000000000002</v>
      </c>
      <c r="W214" s="77">
        <v>0.64600000000000002</v>
      </c>
      <c r="X214" s="77">
        <v>0.64600000000000002</v>
      </c>
      <c r="Y214" s="77">
        <v>0.64600000000000002</v>
      </c>
      <c r="Z214" s="77">
        <v>0.64600000000000002</v>
      </c>
      <c r="AA214" s="77">
        <v>0.64600000000000002</v>
      </c>
      <c r="AB214" s="77">
        <v>0.64600000000000002</v>
      </c>
      <c r="AC214" s="77">
        <v>0.64600000000000002</v>
      </c>
      <c r="AD214" s="77">
        <v>0.64600000000000002</v>
      </c>
      <c r="AE214" s="77">
        <v>0.64600000000000002</v>
      </c>
      <c r="AF214" s="77">
        <v>0.64600000000000002</v>
      </c>
      <c r="AG214" s="77"/>
      <c r="AH214" s="77"/>
      <c r="AI214" s="77"/>
      <c r="AJ214" s="77"/>
    </row>
    <row r="215" spans="1:36" ht="12.75" x14ac:dyDescent="0.2">
      <c r="A215" s="77" t="s">
        <v>805</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2.75" x14ac:dyDescent="0.2">
      <c r="A216" s="77" t="s">
        <v>806</v>
      </c>
      <c r="B216" s="77">
        <v>0.71099999999999997</v>
      </c>
      <c r="C216" s="77">
        <v>0.71099999999999997</v>
      </c>
      <c r="D216" s="77">
        <v>0.71099999999999997</v>
      </c>
      <c r="E216" s="77">
        <v>0.71099999999999997</v>
      </c>
      <c r="F216" s="77">
        <v>0.71099999999999997</v>
      </c>
      <c r="G216" s="77">
        <v>0.71099999999999997</v>
      </c>
      <c r="H216" s="77">
        <v>0.71099999999999997</v>
      </c>
      <c r="I216" s="77">
        <v>0.71099999999999997</v>
      </c>
      <c r="J216" s="77">
        <v>0.71099999999999997</v>
      </c>
      <c r="K216" s="77">
        <v>0.71099999999999997</v>
      </c>
      <c r="L216" s="77">
        <v>0.71099999999999997</v>
      </c>
      <c r="M216" s="77">
        <v>0.71099999999999997</v>
      </c>
      <c r="N216" s="77">
        <v>0.71099999999999997</v>
      </c>
      <c r="O216" s="77">
        <v>0.71099999999999997</v>
      </c>
      <c r="P216" s="77">
        <v>0.71099999999999997</v>
      </c>
      <c r="Q216" s="77">
        <v>0.71099999999999997</v>
      </c>
      <c r="R216" s="77">
        <v>0.71099999999999997</v>
      </c>
      <c r="S216" s="77">
        <v>0.71099999999999997</v>
      </c>
      <c r="T216" s="77">
        <v>0.71099999999999997</v>
      </c>
      <c r="U216" s="77">
        <v>0.71099999999999997</v>
      </c>
      <c r="V216" s="77">
        <v>0.71099999999999997</v>
      </c>
      <c r="W216" s="77">
        <v>0.71099999999999997</v>
      </c>
      <c r="X216" s="77">
        <v>0.71099999999999997</v>
      </c>
      <c r="Y216" s="77">
        <v>0.71099999999999997</v>
      </c>
      <c r="Z216" s="77">
        <v>0.71099999999999997</v>
      </c>
      <c r="AA216" s="77">
        <v>0.71099999999999997</v>
      </c>
      <c r="AB216" s="77">
        <v>0.71099999999999997</v>
      </c>
      <c r="AC216" s="77">
        <v>0.71099999999999997</v>
      </c>
      <c r="AD216" s="77">
        <v>0.71099999999999997</v>
      </c>
      <c r="AE216" s="77">
        <v>0.71099999999999997</v>
      </c>
      <c r="AF216" s="77">
        <v>0.71099999999999997</v>
      </c>
      <c r="AG216" s="77"/>
      <c r="AH216" s="77"/>
      <c r="AI216" s="77"/>
      <c r="AJ216" s="77"/>
    </row>
    <row r="217" spans="1:36"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ht="12.75" x14ac:dyDescent="0.2">
      <c r="A218" s="81" t="s">
        <v>834</v>
      </c>
      <c r="B218" s="81"/>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ht="12.75" x14ac:dyDescent="0.2">
      <c r="A219" s="77" t="s">
        <v>835</v>
      </c>
      <c r="B219" s="77">
        <v>3</v>
      </c>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ht="12.75" x14ac:dyDescent="0.2">
      <c r="A220" s="77" t="s">
        <v>836</v>
      </c>
      <c r="B220" s="77">
        <v>61127.365236523648</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2.75" x14ac:dyDescent="0.2">
      <c r="A221" s="77" t="s">
        <v>838</v>
      </c>
      <c r="B221" s="77">
        <v>2.2046199999999998</v>
      </c>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2.75" x14ac:dyDescent="0.2">
      <c r="A222" s="77" t="s">
        <v>839</v>
      </c>
      <c r="B222" s="77">
        <f>B220*B221</f>
        <v>134762.61194774476</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ht="12.75" x14ac:dyDescent="0.2">
      <c r="A223" s="77" t="s">
        <v>837</v>
      </c>
      <c r="B223" s="77">
        <f>B219/B222*About!A87</f>
        <v>1.746451063189143E-5</v>
      </c>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74" ht="12.75" x14ac:dyDescent="0.2">
      <c r="A225" s="127" t="s">
        <v>852</v>
      </c>
      <c r="B225" s="127"/>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77"/>
      <c r="AH225" s="77"/>
      <c r="AI225" s="77"/>
      <c r="AJ225" s="77"/>
    </row>
    <row r="226" spans="1:74"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row>
    <row r="227" spans="1:74" ht="12.75" x14ac:dyDescent="0.2">
      <c r="A227" s="77" t="s">
        <v>856</v>
      </c>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row>
    <row r="228" spans="1:74" ht="12.75" x14ac:dyDescent="0.2">
      <c r="A228" s="77" t="s">
        <v>758</v>
      </c>
      <c r="B228" s="77">
        <v>2021</v>
      </c>
      <c r="C228" s="77">
        <v>2022</v>
      </c>
      <c r="D228" s="77">
        <v>2023</v>
      </c>
      <c r="E228" s="77">
        <v>2024</v>
      </c>
      <c r="F228" s="77">
        <v>2025</v>
      </c>
      <c r="G228" s="77">
        <v>2026</v>
      </c>
      <c r="H228" s="77">
        <v>2027</v>
      </c>
      <c r="I228" s="77">
        <v>2028</v>
      </c>
      <c r="J228" s="77">
        <v>2029</v>
      </c>
      <c r="K228" s="77">
        <v>2030</v>
      </c>
      <c r="L228" s="77">
        <v>2031</v>
      </c>
      <c r="M228" s="77">
        <v>2032</v>
      </c>
      <c r="N228" s="77">
        <v>2033</v>
      </c>
      <c r="O228" s="77">
        <v>2034</v>
      </c>
      <c r="P228" s="77">
        <v>2035</v>
      </c>
      <c r="Q228" s="77">
        <v>2036</v>
      </c>
      <c r="R228" s="77">
        <v>2037</v>
      </c>
      <c r="S228" s="77">
        <v>2038</v>
      </c>
      <c r="T228" s="77">
        <v>2039</v>
      </c>
      <c r="U228" s="77">
        <v>2040</v>
      </c>
      <c r="V228" s="77">
        <v>2041</v>
      </c>
      <c r="W228" s="77">
        <v>2042</v>
      </c>
      <c r="X228" s="77">
        <v>2043</v>
      </c>
      <c r="Y228" s="77">
        <v>2044</v>
      </c>
      <c r="Z228" s="77">
        <v>2045</v>
      </c>
      <c r="AA228" s="77">
        <v>2046</v>
      </c>
      <c r="AB228" s="77">
        <v>2047</v>
      </c>
      <c r="AC228" s="77">
        <v>2048</v>
      </c>
      <c r="AD228" s="77">
        <v>2049</v>
      </c>
      <c r="AE228" s="77">
        <v>2050</v>
      </c>
      <c r="AF228" s="77">
        <v>2050</v>
      </c>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row>
    <row r="229" spans="1:74" ht="12.75" x14ac:dyDescent="0.2">
      <c r="A229" s="77" t="s">
        <v>855</v>
      </c>
      <c r="B229" s="77">
        <v>55.752400000000002</v>
      </c>
      <c r="C229" s="77">
        <v>53.080800000000004</v>
      </c>
      <c r="D229" s="77">
        <v>35.336100000000002</v>
      </c>
      <c r="E229" s="77">
        <v>32.708399999999997</v>
      </c>
      <c r="F229" s="77">
        <v>29.970099999999999</v>
      </c>
      <c r="G229" s="77">
        <v>27.5809</v>
      </c>
      <c r="H229" s="77">
        <v>25.226600000000001</v>
      </c>
      <c r="I229" s="77">
        <v>23.170400000000001</v>
      </c>
      <c r="J229" s="77">
        <v>21.188199999999998</v>
      </c>
      <c r="K229" s="77">
        <v>19.2439</v>
      </c>
      <c r="L229" s="77">
        <v>18.0886</v>
      </c>
      <c r="M229" s="77">
        <v>17.2057</v>
      </c>
      <c r="N229" s="77">
        <v>16.649100000000001</v>
      </c>
      <c r="O229" s="77">
        <v>16.277100000000001</v>
      </c>
      <c r="P229" s="77">
        <v>15.7676</v>
      </c>
      <c r="Q229" s="77">
        <v>15.270300000000001</v>
      </c>
      <c r="R229" s="77">
        <v>14.748900000000001</v>
      </c>
      <c r="S229" s="77">
        <v>14.2789</v>
      </c>
      <c r="T229" s="77">
        <v>13.9671</v>
      </c>
      <c r="U229" s="77">
        <v>13.742699999999999</v>
      </c>
      <c r="V229" s="77">
        <v>13.6432</v>
      </c>
      <c r="W229" s="77">
        <v>13.4938</v>
      </c>
      <c r="X229" s="77">
        <v>13.180400000000001</v>
      </c>
      <c r="Y229" s="77">
        <v>12.9552</v>
      </c>
      <c r="Z229" s="77">
        <v>12.834899999999999</v>
      </c>
      <c r="AA229" s="77">
        <v>12.4894</v>
      </c>
      <c r="AB229" s="77">
        <v>12.160399999999999</v>
      </c>
      <c r="AC229" s="77">
        <v>11.8597</v>
      </c>
      <c r="AD229" s="77">
        <v>11.572100000000001</v>
      </c>
      <c r="AE229" s="77">
        <v>11.3109</v>
      </c>
      <c r="AF229" s="77">
        <v>16.479299999999999</v>
      </c>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row>
    <row r="230" spans="1:74"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row>
    <row r="231" spans="1:74" ht="12.75" x14ac:dyDescent="0.2">
      <c r="A231" s="77" t="s">
        <v>853</v>
      </c>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row>
    <row r="232" spans="1:74" ht="12.75" x14ac:dyDescent="0.2">
      <c r="A232" s="77" t="s">
        <v>758</v>
      </c>
      <c r="B232" s="77">
        <v>2021</v>
      </c>
      <c r="C232" s="77">
        <v>2022</v>
      </c>
      <c r="D232" s="77">
        <v>2023</v>
      </c>
      <c r="E232" s="77">
        <v>2024</v>
      </c>
      <c r="F232" s="77">
        <v>2025</v>
      </c>
      <c r="G232" s="77">
        <v>2026</v>
      </c>
      <c r="H232" s="77">
        <v>2027</v>
      </c>
      <c r="I232" s="77">
        <v>2028</v>
      </c>
      <c r="J232" s="77">
        <v>2029</v>
      </c>
      <c r="K232" s="77">
        <v>2030</v>
      </c>
      <c r="L232" s="77">
        <v>2031</v>
      </c>
      <c r="M232" s="77">
        <v>2032</v>
      </c>
      <c r="N232" s="77">
        <v>2033</v>
      </c>
      <c r="O232" s="77">
        <v>2034</v>
      </c>
      <c r="P232" s="77">
        <v>2035</v>
      </c>
      <c r="Q232" s="77">
        <v>2036</v>
      </c>
      <c r="R232" s="77">
        <v>2037</v>
      </c>
      <c r="S232" s="77">
        <v>2038</v>
      </c>
      <c r="T232" s="77">
        <v>2039</v>
      </c>
      <c r="U232" s="77">
        <v>2040</v>
      </c>
      <c r="V232" s="77">
        <v>2041</v>
      </c>
      <c r="W232" s="77">
        <v>2042</v>
      </c>
      <c r="X232" s="77">
        <v>2043</v>
      </c>
      <c r="Y232" s="77">
        <v>2044</v>
      </c>
      <c r="Z232" s="77">
        <v>2045</v>
      </c>
      <c r="AA232" s="77">
        <v>2046</v>
      </c>
      <c r="AB232" s="77">
        <v>2047</v>
      </c>
      <c r="AC232" s="77">
        <v>2048</v>
      </c>
      <c r="AD232" s="77">
        <v>2049</v>
      </c>
      <c r="AE232" s="77">
        <v>2050</v>
      </c>
      <c r="AF232" s="77">
        <v>2050</v>
      </c>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row>
    <row r="233" spans="1:74" ht="12.75" x14ac:dyDescent="0.2">
      <c r="A233" s="77" t="s">
        <v>855</v>
      </c>
      <c r="B233" s="77">
        <v>46.671500000000002</v>
      </c>
      <c r="C233" s="77">
        <v>45.652999999999999</v>
      </c>
      <c r="D233" s="77">
        <v>35.264800000000001</v>
      </c>
      <c r="E233" s="77">
        <v>33.564799999999998</v>
      </c>
      <c r="F233" s="77">
        <v>31.793299999999999</v>
      </c>
      <c r="G233" s="77">
        <v>30.118400000000001</v>
      </c>
      <c r="H233" s="77">
        <v>28.4361</v>
      </c>
      <c r="I233" s="77">
        <v>27.102</v>
      </c>
      <c r="J233" s="77">
        <v>25.794699999999999</v>
      </c>
      <c r="K233" s="77">
        <v>24.5245</v>
      </c>
      <c r="L233" s="77">
        <v>23.755600000000001</v>
      </c>
      <c r="M233" s="77">
        <v>23.119700000000002</v>
      </c>
      <c r="N233" s="77">
        <v>22.690300000000001</v>
      </c>
      <c r="O233" s="77">
        <v>22.3383</v>
      </c>
      <c r="P233" s="77">
        <v>22.022300000000001</v>
      </c>
      <c r="Q233" s="77">
        <v>21.8232</v>
      </c>
      <c r="R233" s="77">
        <v>21.582899999999999</v>
      </c>
      <c r="S233" s="77">
        <v>21.334499999999998</v>
      </c>
      <c r="T233" s="77">
        <v>21.081600000000002</v>
      </c>
      <c r="U233" s="77">
        <v>20.8202</v>
      </c>
      <c r="V233" s="77">
        <v>20.532900000000001</v>
      </c>
      <c r="W233" s="77">
        <v>20.2607</v>
      </c>
      <c r="X233" s="77">
        <v>19.997599999999998</v>
      </c>
      <c r="Y233" s="77">
        <v>19.743200000000002</v>
      </c>
      <c r="Z233" s="77">
        <v>19.502700000000001</v>
      </c>
      <c r="AA233" s="77">
        <v>19.268799999999999</v>
      </c>
      <c r="AB233" s="77">
        <v>19.0518</v>
      </c>
      <c r="AC233" s="77">
        <v>18.849499999999999</v>
      </c>
      <c r="AD233" s="77">
        <v>18.651599999999998</v>
      </c>
      <c r="AE233" s="77">
        <v>18.467600000000001</v>
      </c>
      <c r="AF233" s="77">
        <v>16.521100000000001</v>
      </c>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row>
    <row r="234" spans="1:74"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row>
    <row r="235" spans="1:74" ht="12.75" x14ac:dyDescent="0.2">
      <c r="A235" s="77" t="s">
        <v>854</v>
      </c>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row>
    <row r="236" spans="1:74" ht="12.75" x14ac:dyDescent="0.2">
      <c r="A236" s="77" t="s">
        <v>758</v>
      </c>
      <c r="B236" s="77"/>
      <c r="C236" s="77"/>
      <c r="D236" s="77"/>
      <c r="E236" s="77">
        <v>2023</v>
      </c>
      <c r="F236" s="77">
        <v>2024</v>
      </c>
      <c r="G236" s="77">
        <v>2025</v>
      </c>
      <c r="H236" s="77">
        <v>2026</v>
      </c>
      <c r="I236" s="77">
        <v>2027</v>
      </c>
      <c r="J236" s="77">
        <v>2028</v>
      </c>
      <c r="K236" s="77">
        <v>2029</v>
      </c>
      <c r="L236" s="77">
        <v>2030</v>
      </c>
      <c r="M236" s="77">
        <v>2031</v>
      </c>
      <c r="N236" s="77">
        <v>2032</v>
      </c>
      <c r="O236" s="77">
        <v>2033</v>
      </c>
      <c r="P236" s="77">
        <v>2034</v>
      </c>
      <c r="Q236" s="77">
        <v>2035</v>
      </c>
      <c r="R236" s="77">
        <v>2036</v>
      </c>
      <c r="S236" s="77">
        <v>2037</v>
      </c>
      <c r="T236" s="77">
        <v>2038</v>
      </c>
      <c r="U236" s="77">
        <v>2039</v>
      </c>
      <c r="V236" s="77">
        <v>2040</v>
      </c>
      <c r="W236" s="77">
        <v>2041</v>
      </c>
      <c r="X236" s="77">
        <v>2042</v>
      </c>
      <c r="Y236" s="77">
        <v>2043</v>
      </c>
      <c r="Z236" s="77">
        <v>2044</v>
      </c>
      <c r="AA236" s="77">
        <v>2045</v>
      </c>
      <c r="AB236" s="77">
        <v>2046</v>
      </c>
      <c r="AC236" s="77">
        <v>2047</v>
      </c>
      <c r="AD236" s="77">
        <v>2048</v>
      </c>
      <c r="AE236" s="77">
        <v>2049</v>
      </c>
      <c r="AF236" s="77">
        <v>2050</v>
      </c>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row>
    <row r="237" spans="1:74" ht="12.75" x14ac:dyDescent="0.2">
      <c r="A237" s="77" t="s">
        <v>855</v>
      </c>
      <c r="B237" s="77"/>
      <c r="C237" s="77"/>
      <c r="D237" s="77"/>
      <c r="E237" s="77" t="str">
        <f t="shared" ref="E237:AF237" si="154">IF(E229&lt;E233,"PTC","ITC")</f>
        <v>PTC</v>
      </c>
      <c r="F237" s="77" t="str">
        <f t="shared" si="154"/>
        <v>PTC</v>
      </c>
      <c r="G237" s="77" t="str">
        <f t="shared" si="154"/>
        <v>PTC</v>
      </c>
      <c r="H237" s="77" t="str">
        <f t="shared" si="154"/>
        <v>PTC</v>
      </c>
      <c r="I237" s="77" t="str">
        <f t="shared" si="154"/>
        <v>PTC</v>
      </c>
      <c r="J237" s="77" t="str">
        <f t="shared" si="154"/>
        <v>PTC</v>
      </c>
      <c r="K237" s="77" t="str">
        <f t="shared" si="154"/>
        <v>PTC</v>
      </c>
      <c r="L237" s="77" t="str">
        <f t="shared" si="154"/>
        <v>PTC</v>
      </c>
      <c r="M237" s="77" t="str">
        <f t="shared" si="154"/>
        <v>PTC</v>
      </c>
      <c r="N237" s="77" t="str">
        <f t="shared" si="154"/>
        <v>PTC</v>
      </c>
      <c r="O237" s="77" t="str">
        <f t="shared" si="154"/>
        <v>PTC</v>
      </c>
      <c r="P237" s="77" t="str">
        <f t="shared" si="154"/>
        <v>PTC</v>
      </c>
      <c r="Q237" s="77" t="str">
        <f t="shared" si="154"/>
        <v>PTC</v>
      </c>
      <c r="R237" s="77" t="str">
        <f t="shared" si="154"/>
        <v>PTC</v>
      </c>
      <c r="S237" s="77" t="str">
        <f t="shared" si="154"/>
        <v>PTC</v>
      </c>
      <c r="T237" s="77" t="str">
        <f t="shared" si="154"/>
        <v>PTC</v>
      </c>
      <c r="U237" s="77" t="str">
        <f t="shared" si="154"/>
        <v>PTC</v>
      </c>
      <c r="V237" s="77" t="str">
        <f t="shared" si="154"/>
        <v>PTC</v>
      </c>
      <c r="W237" s="77" t="str">
        <f t="shared" si="154"/>
        <v>PTC</v>
      </c>
      <c r="X237" s="77" t="str">
        <f t="shared" si="154"/>
        <v>PTC</v>
      </c>
      <c r="Y237" s="77" t="str">
        <f t="shared" si="154"/>
        <v>PTC</v>
      </c>
      <c r="Z237" s="77" t="str">
        <f t="shared" si="154"/>
        <v>PTC</v>
      </c>
      <c r="AA237" s="77" t="str">
        <f t="shared" si="154"/>
        <v>PTC</v>
      </c>
      <c r="AB237" s="77" t="str">
        <f t="shared" si="154"/>
        <v>PTC</v>
      </c>
      <c r="AC237" s="77" t="str">
        <f t="shared" si="154"/>
        <v>PTC</v>
      </c>
      <c r="AD237" s="77" t="str">
        <f t="shared" si="154"/>
        <v>PTC</v>
      </c>
      <c r="AE237" s="77" t="str">
        <f t="shared" si="154"/>
        <v>PTC</v>
      </c>
      <c r="AF237" s="77" t="str">
        <f t="shared" si="154"/>
        <v>PTC</v>
      </c>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row>
    <row r="238" spans="1:74"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row>
    <row r="239" spans="1:74"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row>
    <row r="240" spans="1:74"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row>
    <row r="241" spans="1:74"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row>
    <row r="242" spans="1:74"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row>
    <row r="243" spans="1:74"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row>
    <row r="244" spans="1:74"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row>
    <row r="245" spans="1:74"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row>
    <row r="246" spans="1:74"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row>
    <row r="247" spans="1:74"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row>
    <row r="248" spans="1:74"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row>
    <row r="249" spans="1:74"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row>
    <row r="415" spans="1:74"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row>
    <row r="416" spans="1:74"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row>
    <row r="417" spans="1:36"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row>
    <row r="418" spans="1:36"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row>
    <row r="419" spans="1:36"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row>
    <row r="420" spans="1:36"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row>
    <row r="421" spans="1:36"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row>
    <row r="422" spans="1:36"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row>
    <row r="423" spans="1:36"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row>
    <row r="424" spans="1:36"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row>
  </sheetData>
  <hyperlinks>
    <hyperlink ref="A16" r:id="rId1" xr:uid="{9AF5D0C6-B2A0-4B35-A44C-EDCD3B3D9C01}"/>
    <hyperlink ref="A48" r:id="rId2" xr:uid="{E0B37667-E23E-41B3-BE62-66AF82E4E6CD}"/>
    <hyperlink ref="C89"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topLeftCell="A4" workbookViewId="0">
      <selection activeCell="E29" sqref="E29"/>
    </sheetView>
  </sheetViews>
  <sheetFormatPr defaultColWidth="8.42578125" defaultRowHeight="15" x14ac:dyDescent="0.25"/>
  <cols>
    <col min="1" max="1" width="19.42578125" customWidth="1"/>
    <col min="2" max="2" width="21.42578125" customWidth="1"/>
  </cols>
  <sheetData>
    <row r="2" spans="1:34" x14ac:dyDescent="0.2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25">
      <c r="A3" t="s">
        <v>857</v>
      </c>
      <c r="B3" s="350" t="s">
        <v>858</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25">
      <c r="A4" t="s">
        <v>859</v>
      </c>
      <c r="B4" s="351"/>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2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25">
      <c r="B6" s="350" t="s">
        <v>860</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25">
      <c r="B7" s="351"/>
      <c r="C7" s="133" t="s">
        <v>861</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25">
      <c r="B8" s="351"/>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25">
      <c r="A9" s="1" t="s">
        <v>862</v>
      </c>
      <c r="B9" s="134" t="s">
        <v>863</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864</v>
      </c>
    </row>
    <row r="10" spans="1:34" x14ac:dyDescent="0.25">
      <c r="B10" s="134" t="s">
        <v>865</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25">
      <c r="A11" s="1"/>
      <c r="B11" s="134" t="s">
        <v>866</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867</v>
      </c>
    </row>
    <row r="12" spans="1:34" x14ac:dyDescent="0.25">
      <c r="B12" s="134" t="s">
        <v>868</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25">
      <c r="B13" s="134" t="s">
        <v>869</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867</v>
      </c>
    </row>
    <row r="14" spans="1:34" x14ac:dyDescent="0.25">
      <c r="B14" s="134" t="s">
        <v>870</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25">
      <c r="B15" s="134" t="s">
        <v>871</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872</v>
      </c>
    </row>
    <row r="16" spans="1:34" x14ac:dyDescent="0.25">
      <c r="B16" s="134" t="s">
        <v>873</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867</v>
      </c>
    </row>
    <row r="17" spans="1:34" x14ac:dyDescent="0.25">
      <c r="B17" s="134" t="s">
        <v>874</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867</v>
      </c>
    </row>
    <row r="18" spans="1:34" x14ac:dyDescent="0.25">
      <c r="B18" s="134" t="s">
        <v>875</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867</v>
      </c>
    </row>
    <row r="19" spans="1:34" x14ac:dyDescent="0.25">
      <c r="B19" s="134" t="s">
        <v>876</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25">
      <c r="B20" s="134" t="s">
        <v>877</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867</v>
      </c>
    </row>
    <row r="21" spans="1:34" x14ac:dyDescent="0.25">
      <c r="B21" s="134" t="s">
        <v>878</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867</v>
      </c>
    </row>
    <row r="22" spans="1:34" x14ac:dyDescent="0.25">
      <c r="B22" s="134" t="s">
        <v>879</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867</v>
      </c>
    </row>
    <row r="23" spans="1:34" x14ac:dyDescent="0.25">
      <c r="B23" s="134" t="s">
        <v>880</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872</v>
      </c>
    </row>
    <row r="24" spans="1:34" x14ac:dyDescent="0.25">
      <c r="B24" s="134" t="s">
        <v>881</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867</v>
      </c>
    </row>
    <row r="25" spans="1:34" x14ac:dyDescent="0.2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25">
      <c r="A26" s="1" t="s">
        <v>882</v>
      </c>
      <c r="B26" s="134" t="s">
        <v>863</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25">
      <c r="B27" s="134" t="s">
        <v>865</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867</v>
      </c>
    </row>
    <row r="28" spans="1:34" x14ac:dyDescent="0.25">
      <c r="A28" s="1"/>
      <c r="B28" s="134" t="s">
        <v>866</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25">
      <c r="B29" s="134" t="s">
        <v>868</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867</v>
      </c>
    </row>
    <row r="30" spans="1:34" x14ac:dyDescent="0.25">
      <c r="B30" s="134" t="s">
        <v>869</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25">
      <c r="B31" s="134" t="s">
        <v>870</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25">
      <c r="B32" s="134" t="s">
        <v>871</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25">
      <c r="B33" s="134" t="s">
        <v>873</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25">
      <c r="B34" s="134" t="s">
        <v>874</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25">
      <c r="B35" s="134" t="s">
        <v>875</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25">
      <c r="B36" s="134" t="s">
        <v>876</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867</v>
      </c>
    </row>
    <row r="37" spans="1:34" x14ac:dyDescent="0.25">
      <c r="B37" s="134" t="s">
        <v>877</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25">
      <c r="B38" s="134" t="s">
        <v>878</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25">
      <c r="B39" s="134" t="s">
        <v>879</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25">
      <c r="B40" s="134" t="s">
        <v>880</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25">
      <c r="B41" s="134" t="s">
        <v>881</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2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25">
      <c r="A43" s="1" t="s">
        <v>883</v>
      </c>
      <c r="B43" s="134" t="s">
        <v>884</v>
      </c>
    </row>
    <row r="44" spans="1:34" x14ac:dyDescent="0.25">
      <c r="B44" s="134" t="s">
        <v>885</v>
      </c>
    </row>
    <row r="45" spans="1:34" x14ac:dyDescent="0.25">
      <c r="B45" s="134" t="s">
        <v>886</v>
      </c>
    </row>
    <row r="46" spans="1:34" x14ac:dyDescent="0.25">
      <c r="B46" s="134" t="s">
        <v>887</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customWidth="1"/>
    <col min="10" max="10" width="19.42578125" style="137" customWidth="1"/>
    <col min="11" max="11" width="55" style="137" bestFit="1" customWidth="1"/>
    <col min="12" max="12" width="16.42578125" style="137" customWidth="1"/>
    <col min="13" max="15" width="11.42578125" style="137" customWidth="1"/>
    <col min="16" max="17" width="12.42578125" style="137" customWidth="1"/>
    <col min="18" max="20" width="11.42578125" style="137" customWidth="1"/>
    <col min="21" max="21" width="18.42578125" style="137" customWidth="1"/>
    <col min="22" max="22" width="10.42578125" style="137" bestFit="1" customWidth="1"/>
    <col min="23" max="24" width="11.42578125" style="137" customWidth="1"/>
    <col min="25" max="25" width="10.42578125" style="137" bestFit="1" customWidth="1"/>
    <col min="26" max="45" width="11.42578125" style="137" customWidth="1"/>
    <col min="46" max="16384" width="9.42578125" style="137"/>
  </cols>
  <sheetData>
    <row r="1" spans="1:108" ht="18" x14ac:dyDescent="0.25">
      <c r="A1" s="404" t="s">
        <v>1028</v>
      </c>
      <c r="B1" s="404"/>
      <c r="C1" s="404"/>
      <c r="D1" s="404"/>
      <c r="E1" s="404"/>
      <c r="F1" s="404"/>
      <c r="G1" s="404"/>
      <c r="H1" s="404"/>
      <c r="I1" s="404"/>
      <c r="J1" s="404"/>
      <c r="M1" s="138" t="s">
        <v>1029</v>
      </c>
    </row>
    <row r="2" spans="1:108"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25">
      <c r="A3"/>
      <c r="B3"/>
      <c r="C3"/>
      <c r="D3"/>
      <c r="E3"/>
      <c r="U3" s="141" t="s">
        <v>890</v>
      </c>
    </row>
    <row r="4" spans="1:108" ht="14.25" customHeight="1" x14ac:dyDescent="0.2">
      <c r="J4" s="142"/>
      <c r="U4" s="405" t="s">
        <v>891</v>
      </c>
    </row>
    <row r="5" spans="1:108" ht="14.25" customHeight="1" x14ac:dyDescent="0.2">
      <c r="U5" s="406"/>
    </row>
    <row r="7" spans="1:108" ht="14.25" customHeight="1" x14ac:dyDescent="0.25">
      <c r="B7" s="143" t="s">
        <v>892</v>
      </c>
      <c r="G7" s="380" t="s">
        <v>958</v>
      </c>
      <c r="H7" s="407"/>
      <c r="I7" s="407"/>
      <c r="J7" s="407"/>
      <c r="K7" s="407"/>
      <c r="L7" s="407"/>
      <c r="M7" s="407"/>
      <c r="N7" s="407"/>
      <c r="O7" s="407"/>
      <c r="P7" s="407"/>
      <c r="Q7" s="407"/>
      <c r="R7" s="407"/>
      <c r="S7" s="407"/>
      <c r="T7" s="407"/>
      <c r="U7" s="407"/>
      <c r="V7" s="407"/>
      <c r="W7" s="407"/>
      <c r="X7" s="407"/>
      <c r="Y7" s="407"/>
    </row>
    <row r="8" spans="1:108" ht="14.25" customHeight="1" thickBot="1" x14ac:dyDescent="0.25">
      <c r="G8" s="145"/>
      <c r="U8" s="146"/>
    </row>
    <row r="9" spans="1:108" ht="14.25" customHeight="1" thickBot="1" x14ac:dyDescent="0.3">
      <c r="A9"/>
      <c r="G9" s="145"/>
      <c r="H9" s="408" t="s">
        <v>894</v>
      </c>
      <c r="J9" s="410" t="s">
        <v>895</v>
      </c>
      <c r="K9" s="411"/>
      <c r="L9" s="412"/>
      <c r="M9" s="413">
        <v>2021</v>
      </c>
      <c r="N9" s="414"/>
      <c r="O9" s="414"/>
      <c r="P9" s="414"/>
      <c r="Q9" s="415"/>
      <c r="R9" s="416"/>
    </row>
    <row r="10" spans="1:108" ht="14.25" customHeight="1" thickBot="1" x14ac:dyDescent="0.25">
      <c r="G10" s="145"/>
      <c r="H10" s="409"/>
      <c r="J10" s="148" t="s">
        <v>896</v>
      </c>
      <c r="K10" s="273"/>
      <c r="L10" s="273"/>
      <c r="M10" s="273"/>
      <c r="N10" s="273"/>
      <c r="O10" s="273"/>
      <c r="P10" s="274"/>
      <c r="Q10" s="273"/>
      <c r="R10" s="275"/>
    </row>
    <row r="11" spans="1:108" ht="13.5" customHeight="1" thickBot="1" x14ac:dyDescent="0.3">
      <c r="G11" s="145"/>
      <c r="H11" s="409"/>
      <c r="J11" s="417" t="s">
        <v>1030</v>
      </c>
      <c r="K11" s="418"/>
      <c r="L11" s="418"/>
      <c r="M11" s="418"/>
      <c r="N11" s="418"/>
      <c r="O11" s="418"/>
      <c r="P11" s="418"/>
      <c r="Q11" s="418"/>
      <c r="R11" s="419"/>
      <c r="W11" s="276"/>
      <c r="X11" s="277"/>
      <c r="Y11" s="277"/>
      <c r="Z11" s="277"/>
      <c r="AA11" s="277"/>
    </row>
    <row r="12" spans="1:108" ht="13.5" customHeight="1" thickBot="1" x14ac:dyDescent="0.3">
      <c r="G12" s="145"/>
      <c r="H12" s="409"/>
      <c r="J12" s="420" t="s">
        <v>1031</v>
      </c>
      <c r="K12" s="421"/>
      <c r="L12" s="421"/>
      <c r="M12" s="421"/>
      <c r="N12" s="421"/>
      <c r="O12" s="421"/>
      <c r="P12" s="421"/>
      <c r="Q12" s="421"/>
      <c r="R12" s="422"/>
      <c r="W12" s="276"/>
      <c r="X12" s="277"/>
      <c r="Y12" s="277"/>
      <c r="Z12" s="277"/>
      <c r="AA12" s="277"/>
    </row>
    <row r="13" spans="1:108" ht="13.5" customHeight="1" thickBot="1" x14ac:dyDescent="0.3">
      <c r="G13" s="145"/>
      <c r="H13" s="409"/>
      <c r="J13" s="420" t="s">
        <v>1032</v>
      </c>
      <c r="K13" s="421"/>
      <c r="L13" s="421"/>
      <c r="M13" s="421"/>
      <c r="N13" s="421"/>
      <c r="O13" s="421"/>
      <c r="P13" s="421"/>
      <c r="Q13" s="421"/>
      <c r="R13" s="422"/>
      <c r="W13" s="276"/>
      <c r="X13" s="277"/>
      <c r="Y13" s="277"/>
      <c r="Z13" s="277"/>
      <c r="AA13" s="277"/>
    </row>
    <row r="14" spans="1:108" ht="13.5" customHeight="1" thickBot="1" x14ac:dyDescent="0.3">
      <c r="G14" s="145"/>
      <c r="H14" s="409"/>
      <c r="J14" s="420" t="s">
        <v>1033</v>
      </c>
      <c r="K14" s="421"/>
      <c r="L14" s="421"/>
      <c r="M14" s="421"/>
      <c r="N14" s="421"/>
      <c r="O14" s="421"/>
      <c r="P14" s="421"/>
      <c r="Q14" s="421"/>
      <c r="R14" s="422"/>
      <c r="W14" s="277"/>
      <c r="X14" s="277"/>
      <c r="Y14" s="277"/>
      <c r="Z14" s="277"/>
      <c r="AA14" s="277"/>
    </row>
    <row r="15" spans="1:108" ht="14.25" customHeight="1" thickBot="1" x14ac:dyDescent="0.3">
      <c r="G15" s="145"/>
      <c r="H15" s="409"/>
      <c r="J15" s="423" t="s">
        <v>1034</v>
      </c>
      <c r="K15" s="424"/>
      <c r="L15" s="424"/>
      <c r="M15" s="424"/>
      <c r="N15" s="424"/>
      <c r="O15" s="424"/>
      <c r="P15" s="424"/>
      <c r="Q15" s="424"/>
      <c r="R15" s="425"/>
      <c r="W15" s="277"/>
      <c r="X15" s="277"/>
      <c r="Y15" s="277"/>
      <c r="Z15" s="277"/>
      <c r="AA15" s="277"/>
    </row>
    <row r="16" spans="1:108" ht="14.25" customHeight="1" thickTop="1" x14ac:dyDescent="0.25">
      <c r="G16" s="145"/>
      <c r="H16" s="409"/>
      <c r="J16" s="426" t="s">
        <v>1035</v>
      </c>
      <c r="K16" s="427"/>
      <c r="L16" s="427"/>
      <c r="M16" s="427"/>
      <c r="N16" s="427"/>
      <c r="O16" s="427"/>
      <c r="P16" s="427"/>
      <c r="Q16" s="427"/>
      <c r="R16" s="428"/>
      <c r="W16" s="277"/>
      <c r="X16" s="277"/>
      <c r="Y16" s="277"/>
      <c r="Z16" s="277"/>
      <c r="AA16" s="277"/>
    </row>
    <row r="17" spans="7:27" ht="14.25" customHeight="1" x14ac:dyDescent="0.25">
      <c r="G17" s="145"/>
      <c r="H17" s="409"/>
      <c r="J17" s="429"/>
      <c r="K17" s="430"/>
      <c r="L17" s="430"/>
      <c r="M17" s="430"/>
      <c r="N17" s="430"/>
      <c r="O17" s="430"/>
      <c r="P17" s="430"/>
      <c r="Q17" s="430"/>
      <c r="R17" s="431"/>
      <c r="W17" s="277"/>
      <c r="X17" s="277"/>
      <c r="Y17" s="277"/>
      <c r="Z17" s="277"/>
      <c r="AA17" s="277"/>
    </row>
    <row r="18" spans="7:27" ht="14.25" customHeight="1" thickBot="1" x14ac:dyDescent="0.3">
      <c r="G18" s="145"/>
      <c r="H18" s="409"/>
      <c r="J18" s="432"/>
      <c r="K18" s="433"/>
      <c r="L18" s="433"/>
      <c r="M18" s="433"/>
      <c r="N18" s="433"/>
      <c r="O18" s="433"/>
      <c r="P18" s="433"/>
      <c r="Q18" s="433"/>
      <c r="R18" s="434"/>
      <c r="W18" s="277"/>
      <c r="X18" s="277"/>
      <c r="Y18" s="277"/>
      <c r="Z18" s="277"/>
      <c r="AA18" s="277"/>
    </row>
    <row r="19" spans="7:27" ht="24" customHeight="1" thickTop="1" thickBot="1" x14ac:dyDescent="0.3">
      <c r="G19" s="145"/>
      <c r="H19" s="409"/>
      <c r="J19" s="435">
        <v>118918</v>
      </c>
      <c r="K19" s="436"/>
      <c r="L19" s="436"/>
      <c r="M19" s="436"/>
      <c r="N19" s="436"/>
      <c r="O19" s="436"/>
      <c r="P19" s="436"/>
      <c r="Q19" s="436"/>
      <c r="R19" s="437"/>
      <c r="W19" s="277"/>
      <c r="X19" s="277"/>
      <c r="Y19" s="277"/>
      <c r="Z19" s="277"/>
      <c r="AA19" s="277"/>
    </row>
    <row r="20" spans="7:27" ht="14.25" customHeight="1" thickTop="1" x14ac:dyDescent="0.25">
      <c r="G20" s="145"/>
      <c r="H20" s="409"/>
      <c r="J20" s="278"/>
      <c r="K20" s="279"/>
      <c r="L20" s="280"/>
      <c r="M20" s="438" t="s">
        <v>1036</v>
      </c>
      <c r="N20" s="439"/>
      <c r="O20" s="439"/>
      <c r="P20" s="439"/>
      <c r="Q20" s="439"/>
      <c r="R20" s="440"/>
      <c r="V20" s="281"/>
      <c r="W20" s="277"/>
      <c r="X20" s="277"/>
      <c r="Y20" s="277"/>
      <c r="Z20" s="277"/>
      <c r="AA20" s="277"/>
    </row>
    <row r="21" spans="7:27" ht="14.25" customHeight="1" x14ac:dyDescent="0.25">
      <c r="G21" s="145"/>
      <c r="H21" s="409"/>
      <c r="J21" s="282"/>
      <c r="M21" s="441"/>
      <c r="N21" s="442"/>
      <c r="O21" s="442"/>
      <c r="P21" s="442"/>
      <c r="Q21" s="442"/>
      <c r="R21" s="443"/>
      <c r="S21"/>
      <c r="V21" s="281"/>
      <c r="W21" s="277"/>
      <c r="X21" s="277"/>
      <c r="Y21" s="277"/>
      <c r="Z21" s="277"/>
      <c r="AA21" s="277"/>
    </row>
    <row r="22" spans="7:27" ht="14.25" customHeight="1" x14ac:dyDescent="0.25">
      <c r="G22" s="145"/>
      <c r="H22" s="409"/>
      <c r="J22" s="282"/>
      <c r="M22" s="441"/>
      <c r="N22" s="442"/>
      <c r="O22" s="442"/>
      <c r="P22" s="442"/>
      <c r="Q22" s="442"/>
      <c r="R22" s="443"/>
      <c r="S22"/>
      <c r="V22" s="281"/>
      <c r="W22" s="277"/>
      <c r="X22" s="277"/>
      <c r="Y22" s="277"/>
      <c r="Z22" s="277"/>
      <c r="AA22" s="277"/>
    </row>
    <row r="23" spans="7:27" ht="14.25" customHeight="1" x14ac:dyDescent="0.25">
      <c r="G23" s="145"/>
      <c r="H23" s="409"/>
      <c r="J23" s="282"/>
      <c r="M23" s="441"/>
      <c r="N23" s="442"/>
      <c r="O23" s="442"/>
      <c r="P23" s="442"/>
      <c r="Q23" s="442"/>
      <c r="R23" s="443"/>
      <c r="S23"/>
      <c r="V23" s="281"/>
      <c r="W23" s="277"/>
      <c r="X23" s="277"/>
      <c r="Y23" s="277"/>
      <c r="Z23" s="277"/>
      <c r="AA23" s="277"/>
    </row>
    <row r="24" spans="7:27" ht="14.25" customHeight="1" thickBot="1" x14ac:dyDescent="0.3">
      <c r="G24" s="145"/>
      <c r="H24" s="409"/>
      <c r="J24" s="284"/>
      <c r="K24" s="285"/>
      <c r="M24" s="444"/>
      <c r="N24" s="445"/>
      <c r="O24" s="445"/>
      <c r="P24" s="445"/>
      <c r="Q24" s="445"/>
      <c r="R24" s="446"/>
      <c r="S24"/>
      <c r="U24" s="277"/>
      <c r="V24" s="281"/>
      <c r="W24" s="277"/>
      <c r="X24" s="277"/>
      <c r="Y24" s="277"/>
      <c r="Z24" s="277"/>
      <c r="AA24" s="277"/>
    </row>
    <row r="25" spans="7:27" ht="14.25" customHeight="1" thickBot="1" x14ac:dyDescent="0.3">
      <c r="G25" s="145"/>
      <c r="H25" s="272"/>
      <c r="M25" s="283"/>
      <c r="N25" s="283"/>
      <c r="O25" s="283"/>
      <c r="P25" s="283"/>
      <c r="Q25" s="283"/>
      <c r="R25" s="283"/>
      <c r="S25"/>
      <c r="U25" s="277"/>
      <c r="V25" s="281"/>
      <c r="W25" s="277"/>
      <c r="X25" s="277"/>
      <c r="Y25" s="277"/>
      <c r="Z25" s="277"/>
      <c r="AA25" s="277"/>
    </row>
    <row r="26" spans="7:27" ht="14.25" customHeight="1" thickBot="1" x14ac:dyDescent="0.3">
      <c r="G26" s="145"/>
      <c r="H26" s="272"/>
      <c r="J26" s="387" t="s">
        <v>898</v>
      </c>
      <c r="K26" s="152" t="s">
        <v>899</v>
      </c>
      <c r="L26" s="152" t="s">
        <v>900</v>
      </c>
      <c r="M26" s="152" t="s">
        <v>901</v>
      </c>
      <c r="N26" s="152" t="s">
        <v>902</v>
      </c>
      <c r="O26" s="152" t="s">
        <v>903</v>
      </c>
      <c r="P26" s="283"/>
      <c r="Q26" s="283"/>
      <c r="R26" s="283"/>
      <c r="S26"/>
      <c r="U26" s="277"/>
      <c r="V26" s="281"/>
      <c r="W26" s="277"/>
      <c r="X26" s="277"/>
      <c r="Y26" s="277"/>
      <c r="Z26" s="277"/>
      <c r="AA26" s="277"/>
    </row>
    <row r="27" spans="7:27" ht="14.25" customHeight="1" x14ac:dyDescent="0.25">
      <c r="G27" s="145"/>
      <c r="H27" s="272"/>
      <c r="J27" s="387"/>
      <c r="K27" s="153" t="s">
        <v>1037</v>
      </c>
      <c r="L27" s="153" t="s">
        <v>1038</v>
      </c>
      <c r="M27" s="153" t="s">
        <v>909</v>
      </c>
      <c r="N27" s="153" t="s">
        <v>910</v>
      </c>
      <c r="O27" s="286" t="s">
        <v>911</v>
      </c>
      <c r="P27" s="283"/>
      <c r="Q27" s="283"/>
      <c r="R27" s="283"/>
      <c r="S27"/>
      <c r="U27" s="277"/>
      <c r="V27" s="281"/>
      <c r="W27" s="277"/>
      <c r="X27" s="277"/>
      <c r="Y27" s="277"/>
      <c r="Z27" s="277"/>
      <c r="AA27" s="277"/>
    </row>
    <row r="28" spans="7:27" ht="14.25" customHeight="1" x14ac:dyDescent="0.25">
      <c r="G28" s="145"/>
      <c r="H28" s="272"/>
      <c r="J28" s="387"/>
      <c r="K28" s="156" t="s">
        <v>1039</v>
      </c>
      <c r="L28" s="156" t="s">
        <v>1038</v>
      </c>
      <c r="M28" s="156" t="s">
        <v>914</v>
      </c>
      <c r="N28" s="156" t="s">
        <v>910</v>
      </c>
      <c r="O28" s="287" t="s">
        <v>911</v>
      </c>
      <c r="P28" s="283"/>
      <c r="Q28" s="283"/>
      <c r="R28" s="283"/>
      <c r="S28"/>
      <c r="U28" s="277"/>
      <c r="V28" s="281"/>
      <c r="W28" s="277"/>
      <c r="X28" s="277"/>
      <c r="Y28" s="277"/>
      <c r="Z28" s="277"/>
      <c r="AA28" s="277"/>
    </row>
    <row r="29" spans="7:27" ht="14.25" customHeight="1" x14ac:dyDescent="0.25">
      <c r="G29" s="145"/>
      <c r="H29" s="272"/>
      <c r="J29" s="387"/>
      <c r="K29" s="158" t="s">
        <v>1040</v>
      </c>
      <c r="L29" s="158" t="s">
        <v>1038</v>
      </c>
      <c r="M29" s="158" t="s">
        <v>918</v>
      </c>
      <c r="N29" s="158" t="s">
        <v>910</v>
      </c>
      <c r="O29" s="288" t="s">
        <v>911</v>
      </c>
      <c r="P29" s="283"/>
      <c r="Q29" s="283"/>
      <c r="R29" s="283"/>
      <c r="S29"/>
      <c r="U29" s="277"/>
      <c r="V29" s="281"/>
      <c r="W29" s="277"/>
      <c r="X29" s="277"/>
      <c r="Y29" s="277"/>
      <c r="Z29" s="277"/>
      <c r="AA29" s="277"/>
    </row>
    <row r="30" spans="7:27" ht="14.25" customHeight="1" x14ac:dyDescent="0.25">
      <c r="G30" s="145"/>
      <c r="H30" s="272"/>
      <c r="J30" s="387"/>
      <c r="K30" s="156" t="s">
        <v>1041</v>
      </c>
      <c r="L30" s="156" t="s">
        <v>1038</v>
      </c>
      <c r="M30" s="156" t="s">
        <v>921</v>
      </c>
      <c r="N30" s="156" t="s">
        <v>910</v>
      </c>
      <c r="O30" s="287" t="s">
        <v>911</v>
      </c>
      <c r="P30" s="283"/>
      <c r="Q30" s="283"/>
      <c r="R30" s="283"/>
      <c r="S30"/>
      <c r="U30" s="277"/>
      <c r="V30" s="281"/>
      <c r="W30" s="277"/>
      <c r="X30" s="277"/>
      <c r="Y30" s="277"/>
      <c r="Z30" s="277"/>
      <c r="AA30" s="277"/>
    </row>
    <row r="31" spans="7:27" ht="14.25" customHeight="1" x14ac:dyDescent="0.25">
      <c r="G31" s="145"/>
      <c r="H31" s="272"/>
      <c r="J31" s="387"/>
      <c r="K31" s="158" t="s">
        <v>1042</v>
      </c>
      <c r="L31" s="158" t="s">
        <v>1038</v>
      </c>
      <c r="M31" s="158" t="s">
        <v>924</v>
      </c>
      <c r="N31" s="158" t="s">
        <v>910</v>
      </c>
      <c r="O31" s="288" t="s">
        <v>911</v>
      </c>
      <c r="P31" s="283"/>
      <c r="Q31" s="283"/>
      <c r="R31" s="283"/>
      <c r="S31"/>
      <c r="U31" s="277"/>
      <c r="V31" s="281"/>
      <c r="W31" s="277"/>
      <c r="X31" s="277"/>
      <c r="Y31" s="277"/>
      <c r="Z31" s="277"/>
      <c r="AA31" s="277"/>
    </row>
    <row r="32" spans="7:27" ht="14.25" customHeight="1" x14ac:dyDescent="0.25">
      <c r="G32" s="145"/>
      <c r="H32" s="272"/>
      <c r="J32" s="387"/>
      <c r="K32" s="160" t="s">
        <v>1043</v>
      </c>
      <c r="L32" s="160" t="s">
        <v>1038</v>
      </c>
      <c r="M32" s="160" t="s">
        <v>927</v>
      </c>
      <c r="N32" s="160" t="s">
        <v>910</v>
      </c>
      <c r="O32" s="289" t="s">
        <v>911</v>
      </c>
      <c r="P32" s="283"/>
      <c r="Q32" s="283"/>
      <c r="R32" s="283"/>
      <c r="S32"/>
      <c r="U32" s="277"/>
      <c r="V32" s="281"/>
      <c r="W32" s="277"/>
      <c r="X32" s="277"/>
      <c r="Y32" s="277"/>
      <c r="Z32" s="277"/>
      <c r="AA32" s="277"/>
    </row>
    <row r="33" spans="6:27" ht="14.25" customHeight="1" x14ac:dyDescent="0.25">
      <c r="G33" s="145"/>
      <c r="H33" s="272"/>
      <c r="J33" s="387"/>
      <c r="K33" s="158" t="s">
        <v>1044</v>
      </c>
      <c r="L33" s="158" t="s">
        <v>1038</v>
      </c>
      <c r="M33" s="158" t="s">
        <v>930</v>
      </c>
      <c r="N33" s="158" t="s">
        <v>910</v>
      </c>
      <c r="O33" s="288" t="s">
        <v>911</v>
      </c>
      <c r="P33" s="283"/>
      <c r="Q33" s="283"/>
      <c r="R33" s="283"/>
      <c r="S33"/>
      <c r="U33" s="277"/>
      <c r="V33" s="281"/>
      <c r="W33" s="277"/>
      <c r="X33" s="277"/>
      <c r="Y33" s="277"/>
      <c r="Z33" s="277"/>
      <c r="AA33" s="277"/>
    </row>
    <row r="34" spans="6:27" ht="14.25" customHeight="1" x14ac:dyDescent="0.25">
      <c r="G34" s="145"/>
      <c r="H34" s="272"/>
      <c r="J34" s="387"/>
      <c r="K34" s="156" t="s">
        <v>1045</v>
      </c>
      <c r="L34" s="156" t="s">
        <v>1038</v>
      </c>
      <c r="M34" s="156" t="s">
        <v>934</v>
      </c>
      <c r="N34" s="156" t="s">
        <v>910</v>
      </c>
      <c r="O34" s="287" t="s">
        <v>911</v>
      </c>
      <c r="P34" s="283"/>
      <c r="Q34" s="283"/>
      <c r="R34" s="283"/>
      <c r="S34"/>
      <c r="U34" s="277"/>
      <c r="V34" s="281"/>
      <c r="W34" s="277"/>
      <c r="X34" s="277"/>
      <c r="Y34" s="277"/>
      <c r="Z34" s="277"/>
      <c r="AA34" s="277"/>
    </row>
    <row r="35" spans="6:27" ht="14.25" customHeight="1" x14ac:dyDescent="0.25">
      <c r="G35" s="145"/>
      <c r="H35" s="272"/>
      <c r="J35" s="387"/>
      <c r="K35" s="158" t="s">
        <v>1046</v>
      </c>
      <c r="L35" s="158" t="s">
        <v>1038</v>
      </c>
      <c r="M35" s="158" t="s">
        <v>938</v>
      </c>
      <c r="N35" s="158" t="s">
        <v>910</v>
      </c>
      <c r="O35" s="288" t="s">
        <v>911</v>
      </c>
      <c r="P35" s="283"/>
      <c r="Q35" s="283"/>
      <c r="R35" s="283"/>
      <c r="S35"/>
      <c r="U35" s="277"/>
      <c r="V35" s="281"/>
      <c r="W35" s="277"/>
      <c r="X35" s="277"/>
      <c r="Y35" s="277"/>
      <c r="Z35" s="277"/>
      <c r="AA35" s="277"/>
    </row>
    <row r="36" spans="6:27" ht="14.25" customHeight="1" thickBot="1" x14ac:dyDescent="0.3">
      <c r="G36" s="145"/>
      <c r="H36" s="272"/>
      <c r="J36" s="387"/>
      <c r="K36" s="162" t="s">
        <v>1047</v>
      </c>
      <c r="L36" s="162" t="s">
        <v>1038</v>
      </c>
      <c r="M36" s="162" t="s">
        <v>942</v>
      </c>
      <c r="N36" s="162" t="s">
        <v>910</v>
      </c>
      <c r="O36" s="290" t="s">
        <v>911</v>
      </c>
      <c r="P36" s="283"/>
      <c r="Q36" s="283"/>
      <c r="R36" s="283"/>
      <c r="S36"/>
      <c r="U36" s="277"/>
      <c r="V36" s="281"/>
      <c r="W36" s="277"/>
      <c r="X36" s="277"/>
      <c r="Y36" s="277"/>
      <c r="Z36" s="277"/>
      <c r="AA36" s="277"/>
    </row>
    <row r="37" spans="6:27" ht="14.25" customHeight="1" thickBot="1" x14ac:dyDescent="0.3">
      <c r="G37" s="145"/>
      <c r="H37"/>
      <c r="J37"/>
      <c r="K37"/>
      <c r="L37" s="291"/>
      <c r="M37"/>
      <c r="R37" s="281"/>
      <c r="S37" s="281"/>
      <c r="T37" s="281"/>
      <c r="U37" s="277"/>
      <c r="V37" s="281"/>
      <c r="W37" s="277"/>
      <c r="X37" s="277"/>
      <c r="Y37" s="277"/>
      <c r="Z37" s="277"/>
      <c r="AA37" s="277"/>
    </row>
    <row r="38" spans="6:27" ht="14.25" customHeight="1" x14ac:dyDescent="0.25">
      <c r="G38" s="145"/>
      <c r="H38" s="391" t="s">
        <v>946</v>
      </c>
      <c r="J38" s="393" t="s">
        <v>947</v>
      </c>
      <c r="K38" s="394"/>
      <c r="L38" s="394"/>
      <c r="M38" s="394"/>
      <c r="N38" s="394"/>
      <c r="O38" s="395"/>
      <c r="U38" s="277"/>
      <c r="W38" s="277"/>
      <c r="X38" s="277"/>
      <c r="Y38" s="277"/>
      <c r="Z38" s="277"/>
      <c r="AA38" s="277"/>
    </row>
    <row r="39" spans="6:27" ht="14.25" customHeight="1" thickBot="1" x14ac:dyDescent="0.3">
      <c r="G39" s="145"/>
      <c r="H39" s="392"/>
      <c r="J39" s="396" t="s">
        <v>949</v>
      </c>
      <c r="K39" s="397"/>
      <c r="L39" s="397"/>
      <c r="M39" s="397"/>
      <c r="N39" s="397"/>
      <c r="O39" s="292">
        <v>20</v>
      </c>
      <c r="P39" s="293"/>
      <c r="Q39" s="137" t="s">
        <v>945</v>
      </c>
      <c r="S39" s="164" t="s">
        <v>1064</v>
      </c>
      <c r="U39" s="277"/>
    </row>
    <row r="40" spans="6:27" ht="14.25" customHeight="1" x14ac:dyDescent="0.25">
      <c r="G40" s="145"/>
      <c r="H40" s="392"/>
      <c r="J40" s="170" t="s">
        <v>950</v>
      </c>
      <c r="K40" s="171"/>
      <c r="L40" s="171"/>
      <c r="M40" s="171"/>
      <c r="N40" s="171"/>
      <c r="O40" s="172">
        <v>5</v>
      </c>
      <c r="Q40" s="137" t="s">
        <v>948</v>
      </c>
      <c r="S40" s="165">
        <v>20</v>
      </c>
      <c r="U40" s="277"/>
    </row>
    <row r="41" spans="6:27" ht="14.65" customHeight="1" thickBot="1" x14ac:dyDescent="0.25">
      <c r="F41" s="145"/>
      <c r="G41" s="145"/>
      <c r="H41" s="392"/>
      <c r="J41" s="294" t="s">
        <v>951</v>
      </c>
      <c r="K41" s="295"/>
      <c r="L41" s="295"/>
      <c r="M41" s="295"/>
      <c r="N41" s="295"/>
      <c r="O41" s="173">
        <v>0.02</v>
      </c>
      <c r="Z41" s="296"/>
      <c r="AA41" s="296"/>
    </row>
    <row r="42" spans="6:27" ht="15" customHeight="1" x14ac:dyDescent="0.2">
      <c r="F42" s="145"/>
      <c r="G42" s="145"/>
      <c r="H42" s="392"/>
      <c r="J42" s="297" t="s">
        <v>952</v>
      </c>
      <c r="K42" s="298"/>
      <c r="L42" s="298"/>
      <c r="M42" s="298"/>
      <c r="N42" s="298"/>
      <c r="O42" s="177">
        <v>1</v>
      </c>
    </row>
    <row r="43" spans="6:27" ht="15" customHeight="1" x14ac:dyDescent="0.25">
      <c r="G43" s="145"/>
      <c r="H43" s="392"/>
      <c r="J43" s="299" t="s">
        <v>172</v>
      </c>
      <c r="K43" s="300" t="s">
        <v>953</v>
      </c>
      <c r="L43" s="398" t="s">
        <v>954</v>
      </c>
      <c r="M43" s="401" t="s">
        <v>955</v>
      </c>
      <c r="O43"/>
    </row>
    <row r="44" spans="6:27" ht="15" customHeight="1" x14ac:dyDescent="0.25">
      <c r="G44" s="145"/>
      <c r="H44" s="392"/>
      <c r="J44" s="301" t="s">
        <v>956</v>
      </c>
      <c r="K44" s="147" t="s">
        <v>957</v>
      </c>
      <c r="L44" s="399"/>
      <c r="M44" s="402"/>
      <c r="O44"/>
    </row>
    <row r="45" spans="6:27" ht="15" customHeight="1" x14ac:dyDescent="0.25">
      <c r="G45" s="145"/>
      <c r="H45" s="392"/>
      <c r="J45" s="301"/>
      <c r="K45" s="147"/>
      <c r="L45" s="399"/>
      <c r="M45" s="402"/>
      <c r="O45"/>
    </row>
    <row r="46" spans="6:27" ht="15" customHeight="1" x14ac:dyDescent="0.25">
      <c r="G46" s="145"/>
      <c r="H46" s="392"/>
      <c r="J46" s="301"/>
      <c r="K46" s="147"/>
      <c r="L46" s="400"/>
      <c r="M46" s="403"/>
      <c r="O46"/>
    </row>
    <row r="47" spans="6:27" ht="14.25" customHeight="1" x14ac:dyDescent="0.2">
      <c r="G47" s="145"/>
      <c r="H47" s="392"/>
      <c r="J47" s="182">
        <v>0</v>
      </c>
      <c r="K47" s="183">
        <v>1</v>
      </c>
      <c r="L47" s="183">
        <v>0.8</v>
      </c>
      <c r="M47" s="302">
        <v>0.19999999999999996</v>
      </c>
      <c r="O47" s="187"/>
    </row>
    <row r="48" spans="6:27" ht="14.25" customHeight="1" x14ac:dyDescent="0.2">
      <c r="G48" s="145"/>
      <c r="H48" s="392"/>
      <c r="J48" s="185">
        <v>1</v>
      </c>
      <c r="K48" s="186">
        <v>0</v>
      </c>
      <c r="L48" s="186">
        <v>0.8</v>
      </c>
      <c r="M48" s="303">
        <v>0.19999999999999996</v>
      </c>
      <c r="O48" s="187"/>
    </row>
    <row r="49" spans="7:42" ht="14.25" customHeight="1" thickBot="1" x14ac:dyDescent="0.25">
      <c r="G49" s="145"/>
      <c r="H49" s="392"/>
      <c r="J49" s="188">
        <v>2</v>
      </c>
      <c r="K49" s="189">
        <v>0</v>
      </c>
      <c r="L49" s="189">
        <v>0.8</v>
      </c>
      <c r="M49" s="304">
        <v>0.19999999999999996</v>
      </c>
    </row>
    <row r="50" spans="7:42" ht="14.25" customHeight="1" x14ac:dyDescent="0.2">
      <c r="G50" s="145"/>
      <c r="H50" s="392"/>
      <c r="J50" s="305"/>
      <c r="K50" s="305"/>
      <c r="L50" s="305"/>
      <c r="M50" s="305"/>
      <c r="N50" s="187"/>
      <c r="O50" s="296"/>
    </row>
    <row r="51" spans="7:42" ht="14.25" customHeight="1" x14ac:dyDescent="0.2">
      <c r="G51" s="145"/>
      <c r="H51" s="392"/>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2">
      <c r="G52" s="145"/>
      <c r="H52" s="392"/>
      <c r="J52" s="387" t="s">
        <v>958</v>
      </c>
      <c r="K52" s="192" t="s">
        <v>959</v>
      </c>
      <c r="L52" s="192" t="s">
        <v>960</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2">
      <c r="G53" s="145"/>
      <c r="H53" s="392"/>
      <c r="J53" s="387"/>
      <c r="K53" s="192" t="s">
        <v>961</v>
      </c>
      <c r="L53" s="192" t="s">
        <v>962</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2">
      <c r="G54" s="145"/>
      <c r="H54" s="392"/>
      <c r="J54" s="387"/>
      <c r="K54" s="192" t="s">
        <v>961</v>
      </c>
      <c r="L54" s="192" t="s">
        <v>963</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2">
      <c r="G55" s="145"/>
      <c r="H55" s="392"/>
      <c r="J55" s="387"/>
      <c r="K55" s="192" t="s">
        <v>961</v>
      </c>
      <c r="L55" s="192" t="s">
        <v>964</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25">
      <c r="G56" s="145"/>
      <c r="H56" s="392"/>
      <c r="J56" s="387"/>
      <c r="K56" s="192" t="s">
        <v>965</v>
      </c>
      <c r="L56" s="192" t="s">
        <v>962</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25">
      <c r="G57" s="145"/>
      <c r="H57" s="392"/>
      <c r="J57" s="387"/>
      <c r="K57" s="192" t="s">
        <v>965</v>
      </c>
      <c r="L57" s="192" t="s">
        <v>963</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25">
      <c r="G58" s="145"/>
      <c r="H58" s="392"/>
      <c r="J58" s="387"/>
      <c r="K58" s="192" t="s">
        <v>965</v>
      </c>
      <c r="L58" s="192" t="s">
        <v>964</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2">
      <c r="G59" s="145"/>
      <c r="H59" s="392"/>
      <c r="J59" s="387"/>
      <c r="K59" s="192" t="s">
        <v>966</v>
      </c>
      <c r="L59" s="192" t="s">
        <v>960</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2">
      <c r="G60" s="145"/>
      <c r="H60" s="392"/>
      <c r="J60" s="387"/>
      <c r="K60" s="192" t="s">
        <v>967</v>
      </c>
      <c r="L60" s="192" t="s">
        <v>962</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2">
      <c r="G61" s="145"/>
      <c r="H61" s="392"/>
      <c r="J61" s="387"/>
      <c r="K61" s="192" t="s">
        <v>967</v>
      </c>
      <c r="L61" s="192" t="s">
        <v>963</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2">
      <c r="G62" s="145"/>
      <c r="H62" s="392"/>
      <c r="J62" s="387"/>
      <c r="K62" s="192" t="s">
        <v>967</v>
      </c>
      <c r="L62" s="192" t="s">
        <v>964</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25">
      <c r="G63" s="145"/>
      <c r="H63" s="392"/>
      <c r="J63" s="387"/>
      <c r="K63" s="192" t="s">
        <v>968</v>
      </c>
      <c r="L63" s="192" t="s">
        <v>962</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25">
      <c r="G64" s="145"/>
      <c r="H64" s="392"/>
      <c r="J64" s="387"/>
      <c r="K64" s="192" t="s">
        <v>968</v>
      </c>
      <c r="L64" s="192" t="s">
        <v>963</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25">
      <c r="G65" s="145"/>
      <c r="H65" s="392"/>
      <c r="J65" s="387"/>
      <c r="K65" s="192" t="s">
        <v>968</v>
      </c>
      <c r="L65" s="192" t="s">
        <v>964</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2">
      <c r="G66" s="145"/>
      <c r="H66" s="392"/>
      <c r="J66" s="387"/>
      <c r="K66" s="192" t="s">
        <v>969</v>
      </c>
      <c r="L66" s="192" t="s">
        <v>962</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2">
      <c r="G67" s="145"/>
      <c r="H67" s="392"/>
      <c r="J67" s="387"/>
      <c r="K67" s="192" t="s">
        <v>969</v>
      </c>
      <c r="L67" s="192" t="s">
        <v>963</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2">
      <c r="G68" s="145"/>
      <c r="H68" s="392"/>
      <c r="J68" s="387"/>
      <c r="K68" s="192" t="s">
        <v>969</v>
      </c>
      <c r="L68" s="192" t="s">
        <v>964</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2">
      <c r="G69" s="145"/>
      <c r="H69" s="392"/>
      <c r="J69" s="387"/>
      <c r="K69" s="192" t="s">
        <v>970</v>
      </c>
      <c r="L69" s="192" t="s">
        <v>960</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2">
      <c r="G70" s="145"/>
      <c r="H70" s="392"/>
      <c r="J70" s="387"/>
      <c r="K70" s="192" t="s">
        <v>971</v>
      </c>
      <c r="L70" s="192" t="s">
        <v>962</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2">
      <c r="G71" s="145"/>
      <c r="H71" s="392"/>
      <c r="J71" s="387"/>
      <c r="K71" s="192" t="s">
        <v>971</v>
      </c>
      <c r="L71" s="192" t="s">
        <v>963</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2">
      <c r="G72" s="145"/>
      <c r="H72" s="392"/>
      <c r="J72" s="387"/>
      <c r="K72" s="192" t="s">
        <v>971</v>
      </c>
      <c r="L72" s="192" t="s">
        <v>964</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25">
      <c r="G73" s="145"/>
      <c r="H73" s="392"/>
      <c r="J73" s="387"/>
      <c r="K73" s="192" t="s">
        <v>972</v>
      </c>
      <c r="L73" s="192" t="s">
        <v>962</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25">
      <c r="G74" s="145"/>
      <c r="H74" s="392"/>
      <c r="J74" s="387"/>
      <c r="K74" s="192" t="s">
        <v>972</v>
      </c>
      <c r="L74" s="192" t="s">
        <v>963</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25">
      <c r="G75" s="145"/>
      <c r="H75" s="392"/>
      <c r="J75" s="387"/>
      <c r="K75" s="192" t="s">
        <v>972</v>
      </c>
      <c r="L75" s="192" t="s">
        <v>964</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2">
      <c r="G76" s="145"/>
      <c r="H76" s="392"/>
      <c r="J76" s="387"/>
      <c r="K76" s="196" t="s">
        <v>973</v>
      </c>
      <c r="L76" s="192" t="s">
        <v>962</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2">
      <c r="G77" s="145"/>
      <c r="H77" s="392"/>
      <c r="J77" s="387"/>
      <c r="K77" s="196" t="s">
        <v>973</v>
      </c>
      <c r="L77" s="192" t="s">
        <v>963</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2">
      <c r="G78" s="145"/>
      <c r="H78" s="392"/>
      <c r="J78" s="387"/>
      <c r="K78" s="196" t="s">
        <v>973</v>
      </c>
      <c r="L78" s="192" t="s">
        <v>964</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2">
      <c r="G79" s="145"/>
      <c r="H79" s="392"/>
      <c r="J79" s="387"/>
      <c r="K79" s="196" t="s">
        <v>974</v>
      </c>
      <c r="L79" s="192" t="s">
        <v>962</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2">
      <c r="G80" s="145"/>
      <c r="H80" s="392"/>
      <c r="J80" s="151"/>
      <c r="K80" s="196" t="s">
        <v>974</v>
      </c>
      <c r="L80" s="192" t="s">
        <v>963</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2">
      <c r="G81" s="145"/>
      <c r="H81" s="392"/>
      <c r="J81" s="151"/>
      <c r="K81" s="196" t="s">
        <v>974</v>
      </c>
      <c r="L81" s="192" t="s">
        <v>964</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2">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2">
      <c r="D84" s="143" t="s">
        <v>892</v>
      </c>
      <c r="G84" s="380" t="s">
        <v>975</v>
      </c>
      <c r="H84" s="380"/>
      <c r="I84" s="380"/>
      <c r="J84" s="380"/>
      <c r="K84" s="380"/>
      <c r="L84" s="380"/>
      <c r="M84" s="380"/>
      <c r="N84" s="380"/>
      <c r="O84" s="380"/>
      <c r="P84" s="380"/>
      <c r="Q84" s="380"/>
      <c r="R84" s="380"/>
      <c r="S84" s="380"/>
      <c r="T84" s="380"/>
      <c r="U84" s="380"/>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2">
      <c r="G85" s="145"/>
      <c r="M85" s="137" t="s">
        <v>976</v>
      </c>
      <c r="AA85" s="306"/>
      <c r="AB85" s="306"/>
      <c r="AC85" s="306"/>
      <c r="AD85" s="306"/>
      <c r="AP85" s="306"/>
      <c r="AQ85" s="306"/>
    </row>
    <row r="86" spans="4:44" ht="14.25" customHeight="1" x14ac:dyDescent="0.2">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2">
      <c r="G87" s="145"/>
      <c r="H87" s="390" t="s">
        <v>977</v>
      </c>
      <c r="J87" s="350" t="s">
        <v>978</v>
      </c>
      <c r="K87" s="201" t="s">
        <v>1037</v>
      </c>
      <c r="L87" s="201" t="s">
        <v>962</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2">
      <c r="G88" s="145"/>
      <c r="H88" s="390"/>
      <c r="J88" s="351"/>
      <c r="K88" s="142" t="s">
        <v>1037</v>
      </c>
      <c r="L88" s="192" t="s">
        <v>963</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25">
      <c r="G89" s="145"/>
      <c r="H89" s="390"/>
      <c r="J89" s="351"/>
      <c r="K89" s="203" t="s">
        <v>1037</v>
      </c>
      <c r="L89" s="203" t="s">
        <v>964</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2">
      <c r="G90" s="145"/>
      <c r="H90" s="390"/>
      <c r="J90" s="351"/>
      <c r="K90" s="201" t="s">
        <v>1039</v>
      </c>
      <c r="L90" s="201" t="s">
        <v>962</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2">
      <c r="G91" s="145"/>
      <c r="H91" s="390"/>
      <c r="J91" s="351"/>
      <c r="K91" s="142" t="s">
        <v>1039</v>
      </c>
      <c r="L91" s="192" t="s">
        <v>963</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25">
      <c r="G92" s="145"/>
      <c r="H92" s="390"/>
      <c r="J92" s="351"/>
      <c r="K92" s="203" t="s">
        <v>1039</v>
      </c>
      <c r="L92" s="203" t="s">
        <v>964</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2">
      <c r="G93" s="145"/>
      <c r="H93" s="390"/>
      <c r="J93" s="351"/>
      <c r="K93" s="201" t="s">
        <v>1040</v>
      </c>
      <c r="L93" s="201" t="s">
        <v>962</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2">
      <c r="G94" s="145"/>
      <c r="H94" s="390"/>
      <c r="J94" s="351"/>
      <c r="K94" s="142" t="s">
        <v>1040</v>
      </c>
      <c r="L94" s="192" t="s">
        <v>963</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25">
      <c r="G95" s="145"/>
      <c r="H95" s="390"/>
      <c r="J95" s="351"/>
      <c r="K95" s="203" t="s">
        <v>1040</v>
      </c>
      <c r="L95" s="203" t="s">
        <v>964</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2">
      <c r="G96" s="145"/>
      <c r="H96" s="390"/>
      <c r="J96" s="351"/>
      <c r="K96" s="201" t="s">
        <v>1041</v>
      </c>
      <c r="L96" s="201" t="s">
        <v>962</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2">
      <c r="G97" s="145"/>
      <c r="H97" s="390"/>
      <c r="J97" s="351"/>
      <c r="K97" s="142" t="s">
        <v>1041</v>
      </c>
      <c r="L97" s="192" t="s">
        <v>963</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25">
      <c r="G98" s="145"/>
      <c r="H98" s="390"/>
      <c r="J98" s="351"/>
      <c r="K98" s="203" t="s">
        <v>1041</v>
      </c>
      <c r="L98" s="203" t="s">
        <v>964</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2">
      <c r="G99" s="145"/>
      <c r="H99" s="390"/>
      <c r="J99" s="351"/>
      <c r="K99" s="201" t="s">
        <v>1042</v>
      </c>
      <c r="L99" s="201" t="s">
        <v>962</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2">
      <c r="G100" s="145"/>
      <c r="H100" s="390"/>
      <c r="J100" s="351"/>
      <c r="K100" s="142" t="s">
        <v>1042</v>
      </c>
      <c r="L100" s="192" t="s">
        <v>963</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25">
      <c r="G101" s="145"/>
      <c r="H101" s="390"/>
      <c r="J101" s="351"/>
      <c r="K101" s="203" t="s">
        <v>1042</v>
      </c>
      <c r="L101" s="203" t="s">
        <v>964</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2">
      <c r="G102" s="145"/>
      <c r="H102" s="390"/>
      <c r="J102" s="351"/>
      <c r="K102" s="201" t="s">
        <v>1043</v>
      </c>
      <c r="L102" s="201" t="s">
        <v>962</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2">
      <c r="G103" s="145"/>
      <c r="H103" s="390"/>
      <c r="J103" s="351"/>
      <c r="K103" s="142" t="s">
        <v>1043</v>
      </c>
      <c r="L103" s="192" t="s">
        <v>963</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25">
      <c r="G104" s="145"/>
      <c r="H104" s="390"/>
      <c r="J104" s="351"/>
      <c r="K104" s="203" t="s">
        <v>1043</v>
      </c>
      <c r="L104" s="203" t="s">
        <v>964</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2">
      <c r="G105" s="145"/>
      <c r="H105" s="390"/>
      <c r="J105" s="351"/>
      <c r="K105" s="201" t="s">
        <v>1044</v>
      </c>
      <c r="L105" s="201" t="s">
        <v>962</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2">
      <c r="G106" s="145"/>
      <c r="H106" s="390"/>
      <c r="J106" s="351"/>
      <c r="K106" s="142" t="s">
        <v>1044</v>
      </c>
      <c r="L106" s="192" t="s">
        <v>963</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25">
      <c r="G107" s="145"/>
      <c r="H107" s="390"/>
      <c r="J107" s="351"/>
      <c r="K107" s="203" t="s">
        <v>1044</v>
      </c>
      <c r="L107" s="203" t="s">
        <v>964</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2">
      <c r="G108" s="145"/>
      <c r="H108" s="390"/>
      <c r="J108" s="351"/>
      <c r="K108" s="201" t="s">
        <v>1045</v>
      </c>
      <c r="L108" s="201" t="s">
        <v>962</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2">
      <c r="G109" s="145"/>
      <c r="H109" s="390"/>
      <c r="J109" s="351"/>
      <c r="K109" s="142" t="s">
        <v>1045</v>
      </c>
      <c r="L109" s="192" t="s">
        <v>963</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25">
      <c r="G110" s="145"/>
      <c r="H110" s="390"/>
      <c r="J110" s="351"/>
      <c r="K110" s="203" t="s">
        <v>1045</v>
      </c>
      <c r="L110" s="203" t="s">
        <v>964</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2">
      <c r="G111" s="145"/>
      <c r="H111" s="390"/>
      <c r="J111" s="351"/>
      <c r="K111" s="201" t="s">
        <v>1046</v>
      </c>
      <c r="L111" s="201" t="s">
        <v>962</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2">
      <c r="G112" s="145"/>
      <c r="H112" s="390"/>
      <c r="J112" s="351"/>
      <c r="K112" s="142" t="s">
        <v>1046</v>
      </c>
      <c r="L112" s="192" t="s">
        <v>963</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25">
      <c r="G113" s="145"/>
      <c r="H113" s="390"/>
      <c r="J113" s="351"/>
      <c r="K113" s="203" t="s">
        <v>1046</v>
      </c>
      <c r="L113" s="203" t="s">
        <v>964</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2">
      <c r="G114" s="145"/>
      <c r="H114" s="390"/>
      <c r="J114" s="351"/>
      <c r="K114" s="201" t="s">
        <v>1047</v>
      </c>
      <c r="L114" s="201" t="s">
        <v>962</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2">
      <c r="G115" s="145"/>
      <c r="H115" s="390"/>
      <c r="J115" s="351"/>
      <c r="K115" s="142" t="s">
        <v>1047</v>
      </c>
      <c r="L115" s="192" t="s">
        <v>963</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25">
      <c r="G116" s="145"/>
      <c r="H116" s="390"/>
      <c r="J116" s="384"/>
      <c r="K116" s="203" t="s">
        <v>1047</v>
      </c>
      <c r="L116" s="203" t="s">
        <v>964</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2">
      <c r="G117" s="145"/>
      <c r="H117" s="390"/>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2">
      <c r="G118" s="145"/>
      <c r="H118" s="390"/>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2">
      <c r="G119" s="145"/>
      <c r="H119" s="390"/>
      <c r="J119" s="350" t="s">
        <v>979</v>
      </c>
      <c r="K119" s="201" t="s">
        <v>1037</v>
      </c>
      <c r="L119" s="201" t="s">
        <v>962</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2">
      <c r="G120" s="145"/>
      <c r="H120" s="390"/>
      <c r="J120" s="351"/>
      <c r="K120" s="142" t="s">
        <v>1037</v>
      </c>
      <c r="L120" s="192" t="s">
        <v>963</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25">
      <c r="G121" s="145"/>
      <c r="H121" s="390"/>
      <c r="J121" s="351"/>
      <c r="K121" s="203" t="s">
        <v>1037</v>
      </c>
      <c r="L121" s="203" t="s">
        <v>964</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2">
      <c r="G122" s="145"/>
      <c r="H122" s="390"/>
      <c r="J122" s="351"/>
      <c r="K122" s="201" t="s">
        <v>1039</v>
      </c>
      <c r="L122" s="201" t="s">
        <v>962</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2">
      <c r="G123" s="145"/>
      <c r="H123" s="390"/>
      <c r="J123" s="351"/>
      <c r="K123" s="142" t="s">
        <v>1039</v>
      </c>
      <c r="L123" s="192" t="s">
        <v>963</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25">
      <c r="G124" s="145"/>
      <c r="H124" s="390"/>
      <c r="J124" s="351"/>
      <c r="K124" s="203" t="s">
        <v>1039</v>
      </c>
      <c r="L124" s="203" t="s">
        <v>964</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2">
      <c r="G125" s="145"/>
      <c r="H125" s="390"/>
      <c r="J125" s="351"/>
      <c r="K125" s="201" t="s">
        <v>1040</v>
      </c>
      <c r="L125" s="201" t="s">
        <v>962</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2">
      <c r="G126" s="145"/>
      <c r="H126" s="390"/>
      <c r="J126" s="351"/>
      <c r="K126" s="142" t="s">
        <v>1040</v>
      </c>
      <c r="L126" s="192" t="s">
        <v>963</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25">
      <c r="G127" s="145"/>
      <c r="H127" s="390"/>
      <c r="J127" s="351"/>
      <c r="K127" s="203" t="s">
        <v>1040</v>
      </c>
      <c r="L127" s="203" t="s">
        <v>964</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2">
      <c r="G128" s="145"/>
      <c r="H128" s="390"/>
      <c r="J128" s="351"/>
      <c r="K128" s="201" t="s">
        <v>1041</v>
      </c>
      <c r="L128" s="201" t="s">
        <v>962</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2">
      <c r="G129" s="145"/>
      <c r="H129" s="390"/>
      <c r="J129" s="351"/>
      <c r="K129" s="142" t="s">
        <v>1041</v>
      </c>
      <c r="L129" s="192" t="s">
        <v>963</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25">
      <c r="G130" s="145"/>
      <c r="H130" s="390"/>
      <c r="J130" s="351"/>
      <c r="K130" s="203" t="s">
        <v>1041</v>
      </c>
      <c r="L130" s="203" t="s">
        <v>964</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2">
      <c r="G131" s="145"/>
      <c r="H131" s="390"/>
      <c r="J131" s="351"/>
      <c r="K131" s="201" t="s">
        <v>1042</v>
      </c>
      <c r="L131" s="201" t="s">
        <v>962</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2">
      <c r="G132" s="145"/>
      <c r="H132" s="390"/>
      <c r="J132" s="351"/>
      <c r="K132" s="142" t="s">
        <v>1042</v>
      </c>
      <c r="L132" s="192" t="s">
        <v>963</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25">
      <c r="G133" s="145"/>
      <c r="H133" s="390"/>
      <c r="J133" s="351"/>
      <c r="K133" s="203" t="s">
        <v>1042</v>
      </c>
      <c r="L133" s="203" t="s">
        <v>964</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2">
      <c r="G134" s="145"/>
      <c r="H134" s="390"/>
      <c r="J134" s="351"/>
      <c r="K134" s="201" t="s">
        <v>1043</v>
      </c>
      <c r="L134" s="201" t="s">
        <v>962</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2">
      <c r="G135" s="145"/>
      <c r="H135" s="390"/>
      <c r="J135" s="351"/>
      <c r="K135" s="142" t="s">
        <v>1043</v>
      </c>
      <c r="L135" s="192" t="s">
        <v>963</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25">
      <c r="G136" s="145"/>
      <c r="H136" s="390"/>
      <c r="J136" s="351"/>
      <c r="K136" s="203" t="s">
        <v>1043</v>
      </c>
      <c r="L136" s="203" t="s">
        <v>964</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2">
      <c r="G137" s="145"/>
      <c r="H137" s="390"/>
      <c r="J137" s="351"/>
      <c r="K137" s="201" t="s">
        <v>1044</v>
      </c>
      <c r="L137" s="201" t="s">
        <v>962</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2">
      <c r="G138" s="145"/>
      <c r="H138" s="390"/>
      <c r="J138" s="351"/>
      <c r="K138" s="142" t="s">
        <v>1044</v>
      </c>
      <c r="L138" s="192" t="s">
        <v>963</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25">
      <c r="G139" s="145"/>
      <c r="H139" s="390"/>
      <c r="J139" s="351"/>
      <c r="K139" s="203" t="s">
        <v>1044</v>
      </c>
      <c r="L139" s="203" t="s">
        <v>964</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2">
      <c r="G140" s="145"/>
      <c r="H140" s="390"/>
      <c r="J140" s="351"/>
      <c r="K140" s="201" t="s">
        <v>1045</v>
      </c>
      <c r="L140" s="201" t="s">
        <v>962</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2">
      <c r="G141" s="145"/>
      <c r="H141" s="390"/>
      <c r="J141" s="351"/>
      <c r="K141" s="142" t="s">
        <v>1045</v>
      </c>
      <c r="L141" s="192" t="s">
        <v>963</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25">
      <c r="G142" s="145"/>
      <c r="H142" s="390"/>
      <c r="J142" s="351"/>
      <c r="K142" s="203" t="s">
        <v>1045</v>
      </c>
      <c r="L142" s="203" t="s">
        <v>964</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2">
      <c r="G143" s="145"/>
      <c r="H143" s="390"/>
      <c r="J143" s="351"/>
      <c r="K143" s="201" t="s">
        <v>1046</v>
      </c>
      <c r="L143" s="201" t="s">
        <v>962</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2">
      <c r="G144" s="145"/>
      <c r="H144" s="390"/>
      <c r="J144" s="351"/>
      <c r="K144" s="142" t="s">
        <v>1046</v>
      </c>
      <c r="L144" s="192" t="s">
        <v>963</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25">
      <c r="G145" s="145"/>
      <c r="H145" s="390"/>
      <c r="J145" s="351"/>
      <c r="K145" s="203" t="s">
        <v>1046</v>
      </c>
      <c r="L145" s="203" t="s">
        <v>964</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2">
      <c r="G146" s="145"/>
      <c r="H146" s="390"/>
      <c r="J146" s="351"/>
      <c r="K146" s="201" t="s">
        <v>1047</v>
      </c>
      <c r="L146" s="201" t="s">
        <v>962</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2">
      <c r="G147" s="145"/>
      <c r="H147" s="390"/>
      <c r="J147" s="351"/>
      <c r="K147" s="142" t="s">
        <v>1047</v>
      </c>
      <c r="L147" s="192" t="s">
        <v>963</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25">
      <c r="G148" s="145"/>
      <c r="H148" s="390"/>
      <c r="J148" s="384"/>
      <c r="K148" s="203" t="s">
        <v>1047</v>
      </c>
      <c r="L148" s="203" t="s">
        <v>964</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2">
      <c r="G149" s="145"/>
      <c r="H149" s="390"/>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2">
      <c r="G150" s="145"/>
      <c r="H150" s="390"/>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2">
      <c r="G151" s="145"/>
      <c r="H151" s="390"/>
      <c r="J151" s="350" t="s">
        <v>980</v>
      </c>
      <c r="K151" s="201" t="s">
        <v>1037</v>
      </c>
      <c r="L151" s="201" t="s">
        <v>962</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2">
      <c r="G152" s="145"/>
      <c r="H152" s="390"/>
      <c r="J152" s="351"/>
      <c r="K152" s="142" t="s">
        <v>1037</v>
      </c>
      <c r="L152" s="192" t="s">
        <v>963</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25">
      <c r="G153" s="145"/>
      <c r="H153" s="390"/>
      <c r="J153" s="351"/>
      <c r="K153" s="203" t="s">
        <v>1037</v>
      </c>
      <c r="L153" s="203" t="s">
        <v>964</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2">
      <c r="G154" s="145"/>
      <c r="H154" s="390"/>
      <c r="J154" s="351"/>
      <c r="K154" s="201" t="s">
        <v>1039</v>
      </c>
      <c r="L154" s="201" t="s">
        <v>962</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2">
      <c r="G155" s="145"/>
      <c r="H155" s="390"/>
      <c r="J155" s="351"/>
      <c r="K155" s="142" t="s">
        <v>1039</v>
      </c>
      <c r="L155" s="192" t="s">
        <v>963</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25">
      <c r="G156" s="145"/>
      <c r="H156" s="390"/>
      <c r="J156" s="351"/>
      <c r="K156" s="203" t="s">
        <v>1039</v>
      </c>
      <c r="L156" s="203" t="s">
        <v>964</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25">
      <c r="G157" s="145"/>
      <c r="H157" s="390"/>
      <c r="J157" s="351"/>
      <c r="K157" s="201" t="s">
        <v>1040</v>
      </c>
      <c r="L157" s="201" t="s">
        <v>962</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25">
      <c r="A158" s="137"/>
      <c r="B158" s="137"/>
      <c r="C158" s="137"/>
      <c r="D158" s="137"/>
      <c r="E158" s="137"/>
      <c r="F158" s="137"/>
      <c r="G158" s="145"/>
      <c r="H158" s="390"/>
      <c r="I158" s="137"/>
      <c r="J158" s="351"/>
      <c r="K158" s="142" t="s">
        <v>1040</v>
      </c>
      <c r="L158" s="192" t="s">
        <v>963</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25">
      <c r="A159" s="137"/>
      <c r="B159" s="137"/>
      <c r="C159" s="137"/>
      <c r="D159" s="137"/>
      <c r="E159" s="137"/>
      <c r="F159" s="137"/>
      <c r="G159" s="145"/>
      <c r="H159" s="390"/>
      <c r="I159" s="137"/>
      <c r="J159" s="351"/>
      <c r="K159" s="203" t="s">
        <v>1040</v>
      </c>
      <c r="L159" s="203" t="s">
        <v>964</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25">
      <c r="G160" s="145"/>
      <c r="H160" s="390"/>
      <c r="J160" s="351"/>
      <c r="K160" s="201" t="s">
        <v>1041</v>
      </c>
      <c r="L160" s="201" t="s">
        <v>962</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25">
      <c r="A161" s="137"/>
      <c r="B161" s="137"/>
      <c r="C161" s="137"/>
      <c r="D161" s="137"/>
      <c r="E161" s="137"/>
      <c r="F161" s="137"/>
      <c r="G161" s="145"/>
      <c r="H161" s="390"/>
      <c r="I161" s="137"/>
      <c r="J161" s="351"/>
      <c r="K161" s="142" t="s">
        <v>1041</v>
      </c>
      <c r="L161" s="192" t="s">
        <v>963</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25">
      <c r="A162" s="137"/>
      <c r="B162" s="137"/>
      <c r="C162" s="137"/>
      <c r="D162" s="137"/>
      <c r="E162" s="137"/>
      <c r="F162" s="137"/>
      <c r="G162" s="145"/>
      <c r="H162" s="390"/>
      <c r="I162" s="137"/>
      <c r="J162" s="351"/>
      <c r="K162" s="203" t="s">
        <v>1041</v>
      </c>
      <c r="L162" s="203" t="s">
        <v>964</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25">
      <c r="G163" s="145"/>
      <c r="H163" s="390"/>
      <c r="J163" s="351"/>
      <c r="K163" s="201" t="s">
        <v>1042</v>
      </c>
      <c r="L163" s="201" t="s">
        <v>962</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25">
      <c r="A164" s="137"/>
      <c r="B164" s="137"/>
      <c r="C164" s="137"/>
      <c r="D164" s="137"/>
      <c r="E164" s="137"/>
      <c r="F164" s="137"/>
      <c r="G164" s="145"/>
      <c r="H164" s="390"/>
      <c r="I164" s="137"/>
      <c r="J164" s="351"/>
      <c r="K164" s="142" t="s">
        <v>1042</v>
      </c>
      <c r="L164" s="192" t="s">
        <v>963</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25">
      <c r="A165" s="137"/>
      <c r="B165" s="137"/>
      <c r="C165" s="137"/>
      <c r="D165" s="137"/>
      <c r="E165" s="137"/>
      <c r="F165" s="137"/>
      <c r="G165" s="145"/>
      <c r="H165" s="390"/>
      <c r="I165" s="137"/>
      <c r="J165" s="351"/>
      <c r="K165" s="203" t="s">
        <v>1042</v>
      </c>
      <c r="L165" s="203" t="s">
        <v>964</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2">
      <c r="G166" s="145"/>
      <c r="H166" s="390"/>
      <c r="J166" s="351"/>
      <c r="K166" s="201" t="s">
        <v>1043</v>
      </c>
      <c r="L166" s="201" t="s">
        <v>962</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2">
      <c r="G167" s="145"/>
      <c r="H167" s="390"/>
      <c r="J167" s="351"/>
      <c r="K167" s="142" t="s">
        <v>1043</v>
      </c>
      <c r="L167" s="192" t="s">
        <v>963</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25">
      <c r="G168" s="145"/>
      <c r="H168" s="390"/>
      <c r="J168" s="351"/>
      <c r="K168" s="203" t="s">
        <v>1043</v>
      </c>
      <c r="L168" s="203" t="s">
        <v>964</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2">
      <c r="G169" s="145"/>
      <c r="H169" s="390"/>
      <c r="J169" s="351"/>
      <c r="K169" s="201" t="s">
        <v>1044</v>
      </c>
      <c r="L169" s="201" t="s">
        <v>962</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2">
      <c r="G170" s="145"/>
      <c r="H170" s="390"/>
      <c r="J170" s="351"/>
      <c r="K170" s="142" t="s">
        <v>1044</v>
      </c>
      <c r="L170" s="192" t="s">
        <v>963</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25">
      <c r="G171" s="145"/>
      <c r="H171" s="390"/>
      <c r="J171" s="351"/>
      <c r="K171" s="203" t="s">
        <v>1044</v>
      </c>
      <c r="L171" s="203" t="s">
        <v>964</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25">
      <c r="G172" s="145"/>
      <c r="H172" s="390"/>
      <c r="J172" s="351"/>
      <c r="K172" s="201" t="s">
        <v>1045</v>
      </c>
      <c r="L172" s="201" t="s">
        <v>962</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25">
      <c r="A173" s="137"/>
      <c r="B173" s="137"/>
      <c r="C173" s="137"/>
      <c r="D173" s="137"/>
      <c r="E173" s="137"/>
      <c r="F173" s="137"/>
      <c r="G173" s="145"/>
      <c r="H173" s="390"/>
      <c r="I173" s="137"/>
      <c r="J173" s="351"/>
      <c r="K173" s="142" t="s">
        <v>1045</v>
      </c>
      <c r="L173" s="192" t="s">
        <v>963</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25">
      <c r="A174" s="137"/>
      <c r="B174" s="137"/>
      <c r="C174" s="137"/>
      <c r="D174" s="137"/>
      <c r="E174" s="137"/>
      <c r="F174" s="137"/>
      <c r="G174" s="145"/>
      <c r="H174" s="390"/>
      <c r="I174" s="137"/>
      <c r="J174" s="351"/>
      <c r="K174" s="203" t="s">
        <v>1045</v>
      </c>
      <c r="L174" s="203" t="s">
        <v>964</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25">
      <c r="G175" s="145"/>
      <c r="H175" s="390"/>
      <c r="J175" s="351"/>
      <c r="K175" s="201" t="s">
        <v>1046</v>
      </c>
      <c r="L175" s="201" t="s">
        <v>962</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25">
      <c r="A176" s="137"/>
      <c r="B176" s="137"/>
      <c r="C176" s="137"/>
      <c r="D176" s="137"/>
      <c r="E176" s="137"/>
      <c r="F176" s="137"/>
      <c r="G176" s="145"/>
      <c r="H176" s="390"/>
      <c r="I176" s="137"/>
      <c r="J176" s="351"/>
      <c r="K176" s="142" t="s">
        <v>1046</v>
      </c>
      <c r="L176" s="192" t="s">
        <v>963</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25">
      <c r="A177" s="137"/>
      <c r="B177" s="137"/>
      <c r="C177" s="137"/>
      <c r="D177" s="137"/>
      <c r="E177" s="137"/>
      <c r="F177" s="137"/>
      <c r="G177" s="145"/>
      <c r="H177" s="390"/>
      <c r="I177" s="137"/>
      <c r="J177" s="351"/>
      <c r="K177" s="203" t="s">
        <v>1046</v>
      </c>
      <c r="L177" s="203" t="s">
        <v>964</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25">
      <c r="G178" s="145"/>
      <c r="H178" s="390"/>
      <c r="J178" s="351"/>
      <c r="K178" s="201" t="s">
        <v>1047</v>
      </c>
      <c r="L178" s="201" t="s">
        <v>962</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25">
      <c r="A179" s="137"/>
      <c r="B179" s="137"/>
      <c r="C179" s="137"/>
      <c r="D179" s="137"/>
      <c r="E179" s="137"/>
      <c r="F179" s="137"/>
      <c r="G179" s="145"/>
      <c r="H179" s="390"/>
      <c r="I179" s="137"/>
      <c r="J179" s="351"/>
      <c r="K179" s="142" t="s">
        <v>1047</v>
      </c>
      <c r="L179" s="192" t="s">
        <v>963</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25">
      <c r="A180" s="137"/>
      <c r="B180" s="137"/>
      <c r="C180" s="137"/>
      <c r="D180" s="137"/>
      <c r="E180" s="137"/>
      <c r="F180" s="137"/>
      <c r="G180" s="145"/>
      <c r="H180" s="390"/>
      <c r="I180" s="137"/>
      <c r="J180" s="384"/>
      <c r="K180" s="203" t="s">
        <v>1047</v>
      </c>
      <c r="L180" s="203" t="s">
        <v>964</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25">
      <c r="G181" s="145"/>
      <c r="H181" s="390"/>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25">
      <c r="G182" s="145"/>
      <c r="H182" s="390"/>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2">
      <c r="G183" s="145"/>
      <c r="H183" s="390"/>
      <c r="J183" s="350" t="s">
        <v>981</v>
      </c>
      <c r="K183" s="201" t="s">
        <v>1037</v>
      </c>
      <c r="L183" s="201" t="s">
        <v>962</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2">
      <c r="G184" s="145"/>
      <c r="H184" s="390"/>
      <c r="J184" s="351"/>
      <c r="K184" s="142" t="s">
        <v>1037</v>
      </c>
      <c r="L184" s="192" t="s">
        <v>963</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25">
      <c r="G185" s="145"/>
      <c r="H185" s="390"/>
      <c r="J185" s="351"/>
      <c r="K185" s="203" t="s">
        <v>1037</v>
      </c>
      <c r="L185" s="203" t="s">
        <v>964</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25">
      <c r="G186" s="145"/>
      <c r="H186" s="390"/>
      <c r="J186" s="351"/>
      <c r="K186" s="201" t="s">
        <v>1039</v>
      </c>
      <c r="L186" s="201" t="s">
        <v>962</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2">
      <c r="G187" s="145"/>
      <c r="H187" s="390"/>
      <c r="J187" s="351"/>
      <c r="K187" s="142" t="s">
        <v>1039</v>
      </c>
      <c r="L187" s="192" t="s">
        <v>963</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25">
      <c r="G188" s="145"/>
      <c r="H188" s="390"/>
      <c r="J188" s="351"/>
      <c r="K188" s="203" t="s">
        <v>1039</v>
      </c>
      <c r="L188" s="203" t="s">
        <v>964</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25">
      <c r="G189" s="145"/>
      <c r="H189" s="390"/>
      <c r="J189" s="351"/>
      <c r="K189" s="201" t="s">
        <v>1040</v>
      </c>
      <c r="L189" s="201" t="s">
        <v>962</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25">
      <c r="A190" s="137"/>
      <c r="B190" s="137"/>
      <c r="C190" s="137"/>
      <c r="D190" s="137"/>
      <c r="E190" s="137"/>
      <c r="F190" s="137"/>
      <c r="G190" s="145"/>
      <c r="H190" s="390"/>
      <c r="I190" s="137"/>
      <c r="J190" s="351"/>
      <c r="K190" s="142" t="s">
        <v>1040</v>
      </c>
      <c r="L190" s="192" t="s">
        <v>963</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25">
      <c r="A191" s="137"/>
      <c r="B191" s="137"/>
      <c r="C191" s="137"/>
      <c r="D191" s="137"/>
      <c r="E191" s="137"/>
      <c r="F191" s="137"/>
      <c r="G191" s="145"/>
      <c r="H191" s="390"/>
      <c r="I191" s="137"/>
      <c r="J191" s="351"/>
      <c r="K191" s="203" t="s">
        <v>1040</v>
      </c>
      <c r="L191" s="203" t="s">
        <v>964</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25">
      <c r="G192" s="145"/>
      <c r="H192" s="390"/>
      <c r="J192" s="351"/>
      <c r="K192" s="201" t="s">
        <v>1041</v>
      </c>
      <c r="L192" s="201" t="s">
        <v>962</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25">
      <c r="A193" s="137"/>
      <c r="B193" s="137"/>
      <c r="C193" s="137"/>
      <c r="D193" s="137"/>
      <c r="E193" s="137"/>
      <c r="F193" s="137"/>
      <c r="G193" s="145"/>
      <c r="H193" s="390"/>
      <c r="I193" s="137"/>
      <c r="J193" s="351"/>
      <c r="K193" s="142" t="s">
        <v>1041</v>
      </c>
      <c r="L193" s="192" t="s">
        <v>963</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25">
      <c r="A194" s="137"/>
      <c r="B194" s="137"/>
      <c r="C194" s="137"/>
      <c r="D194" s="137"/>
      <c r="E194" s="137"/>
      <c r="F194" s="137"/>
      <c r="G194" s="145"/>
      <c r="H194" s="390"/>
      <c r="I194" s="137"/>
      <c r="J194" s="351"/>
      <c r="K194" s="203" t="s">
        <v>1041</v>
      </c>
      <c r="L194" s="203" t="s">
        <v>964</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2">
      <c r="G195" s="145"/>
      <c r="H195" s="390"/>
      <c r="J195" s="351"/>
      <c r="K195" s="201" t="s">
        <v>1042</v>
      </c>
      <c r="L195" s="201" t="s">
        <v>962</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2">
      <c r="G196" s="145"/>
      <c r="H196" s="390"/>
      <c r="J196" s="351"/>
      <c r="K196" s="142" t="s">
        <v>1042</v>
      </c>
      <c r="L196" s="192" t="s">
        <v>963</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25">
      <c r="G197" s="145"/>
      <c r="H197" s="390"/>
      <c r="J197" s="351"/>
      <c r="K197" s="203" t="s">
        <v>1042</v>
      </c>
      <c r="L197" s="203" t="s">
        <v>964</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2">
      <c r="G198" s="145"/>
      <c r="H198" s="390"/>
      <c r="J198" s="351"/>
      <c r="K198" s="201" t="s">
        <v>1043</v>
      </c>
      <c r="L198" s="201" t="s">
        <v>962</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2">
      <c r="G199" s="145"/>
      <c r="H199" s="390"/>
      <c r="J199" s="351"/>
      <c r="K199" s="142" t="s">
        <v>1043</v>
      </c>
      <c r="L199" s="192" t="s">
        <v>963</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25">
      <c r="G200" s="145"/>
      <c r="H200" s="390"/>
      <c r="J200" s="351"/>
      <c r="K200" s="203" t="s">
        <v>1043</v>
      </c>
      <c r="L200" s="203" t="s">
        <v>964</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25">
      <c r="G201" s="145"/>
      <c r="H201" s="390"/>
      <c r="J201" s="351"/>
      <c r="K201" s="201" t="s">
        <v>1044</v>
      </c>
      <c r="L201" s="201" t="s">
        <v>962</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2">
      <c r="G202" s="145"/>
      <c r="H202" s="390"/>
      <c r="J202" s="351"/>
      <c r="K202" s="142" t="s">
        <v>1044</v>
      </c>
      <c r="L202" s="192" t="s">
        <v>963</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25">
      <c r="G203" s="145"/>
      <c r="H203" s="390"/>
      <c r="J203" s="351"/>
      <c r="K203" s="203" t="s">
        <v>1044</v>
      </c>
      <c r="L203" s="203" t="s">
        <v>964</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25">
      <c r="G204" s="145"/>
      <c r="H204" s="390"/>
      <c r="J204" s="351"/>
      <c r="K204" s="201" t="s">
        <v>1045</v>
      </c>
      <c r="L204" s="201" t="s">
        <v>962</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25">
      <c r="A205" s="137"/>
      <c r="B205" s="137"/>
      <c r="C205" s="137"/>
      <c r="D205" s="137"/>
      <c r="E205" s="137"/>
      <c r="F205" s="137"/>
      <c r="G205" s="145"/>
      <c r="H205" s="390"/>
      <c r="I205" s="137"/>
      <c r="J205" s="351"/>
      <c r="K205" s="142" t="s">
        <v>1045</v>
      </c>
      <c r="L205" s="192" t="s">
        <v>963</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25">
      <c r="A206" s="137"/>
      <c r="B206" s="137"/>
      <c r="C206" s="137"/>
      <c r="D206" s="137"/>
      <c r="E206" s="137"/>
      <c r="F206" s="137"/>
      <c r="G206" s="145"/>
      <c r="H206" s="390"/>
      <c r="I206" s="137"/>
      <c r="J206" s="351"/>
      <c r="K206" s="203" t="s">
        <v>1045</v>
      </c>
      <c r="L206" s="203" t="s">
        <v>964</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25">
      <c r="G207" s="145"/>
      <c r="H207" s="390"/>
      <c r="J207" s="351"/>
      <c r="K207" s="201" t="s">
        <v>1046</v>
      </c>
      <c r="L207" s="201" t="s">
        <v>962</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25">
      <c r="A208" s="137"/>
      <c r="B208" s="137"/>
      <c r="C208" s="137"/>
      <c r="D208" s="137"/>
      <c r="E208" s="137"/>
      <c r="F208" s="137"/>
      <c r="G208" s="145"/>
      <c r="H208" s="390"/>
      <c r="I208" s="137"/>
      <c r="J208" s="351"/>
      <c r="K208" s="142" t="s">
        <v>1046</v>
      </c>
      <c r="L208" s="192" t="s">
        <v>963</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25">
      <c r="A209" s="137"/>
      <c r="B209" s="137"/>
      <c r="C209" s="137"/>
      <c r="D209" s="137"/>
      <c r="E209" s="137"/>
      <c r="F209" s="137"/>
      <c r="G209" s="145"/>
      <c r="H209" s="390"/>
      <c r="I209" s="137"/>
      <c r="J209" s="351"/>
      <c r="K209" s="203" t="s">
        <v>1046</v>
      </c>
      <c r="L209" s="203" t="s">
        <v>964</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2">
      <c r="G210" s="145"/>
      <c r="H210" s="390"/>
      <c r="J210" s="351"/>
      <c r="K210" s="201" t="s">
        <v>1047</v>
      </c>
      <c r="L210" s="201" t="s">
        <v>962</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2">
      <c r="G211" s="145"/>
      <c r="H211" s="390"/>
      <c r="J211" s="351"/>
      <c r="K211" s="142" t="s">
        <v>1047</v>
      </c>
      <c r="L211" s="192" t="s">
        <v>963</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25">
      <c r="G212" s="145"/>
      <c r="H212" s="390"/>
      <c r="J212" s="384"/>
      <c r="K212" s="203" t="s">
        <v>1047</v>
      </c>
      <c r="L212" s="203" t="s">
        <v>964</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2">
      <c r="G213" s="145"/>
      <c r="H213" s="390"/>
      <c r="J213" s="208"/>
      <c r="K213" s="142"/>
      <c r="L213" s="142"/>
    </row>
    <row r="214" spans="1:89" ht="14.25" customHeight="1" x14ac:dyDescent="0.2">
      <c r="G214" s="145"/>
      <c r="H214" s="390"/>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2">
      <c r="G215" s="145"/>
      <c r="H215" s="390"/>
      <c r="J215" s="350" t="s">
        <v>982</v>
      </c>
      <c r="K215" s="201" t="s">
        <v>1037</v>
      </c>
      <c r="L215" s="201" t="s">
        <v>962</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2">
      <c r="G216" s="145"/>
      <c r="H216" s="390"/>
      <c r="J216" s="351"/>
      <c r="K216" s="142" t="s">
        <v>1037</v>
      </c>
      <c r="L216" s="192" t="s">
        <v>963</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25">
      <c r="G217" s="145"/>
      <c r="H217" s="390"/>
      <c r="J217" s="351"/>
      <c r="K217" s="203" t="s">
        <v>1037</v>
      </c>
      <c r="L217" s="203" t="s">
        <v>964</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2">
      <c r="G218" s="145"/>
      <c r="H218" s="390"/>
      <c r="J218" s="351"/>
      <c r="K218" s="201" t="s">
        <v>1039</v>
      </c>
      <c r="L218" s="201" t="s">
        <v>962</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25">
      <c r="G219" s="145"/>
      <c r="H219" s="390"/>
      <c r="J219" s="351"/>
      <c r="K219" s="142" t="s">
        <v>1039</v>
      </c>
      <c r="L219" s="192" t="s">
        <v>963</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25">
      <c r="G220" s="145"/>
      <c r="H220" s="390"/>
      <c r="J220" s="351"/>
      <c r="K220" s="203" t="s">
        <v>1039</v>
      </c>
      <c r="L220" s="203" t="s">
        <v>964</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25">
      <c r="G221" s="145"/>
      <c r="H221" s="390"/>
      <c r="J221" s="351"/>
      <c r="K221" s="201" t="s">
        <v>1040</v>
      </c>
      <c r="L221" s="201" t="s">
        <v>962</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25">
      <c r="A222" s="137"/>
      <c r="B222" s="137"/>
      <c r="C222" s="137"/>
      <c r="D222" s="137"/>
      <c r="E222" s="137"/>
      <c r="F222" s="137"/>
      <c r="G222" s="145"/>
      <c r="H222" s="390"/>
      <c r="I222" s="137"/>
      <c r="J222" s="351"/>
      <c r="K222" s="142" t="s">
        <v>1040</v>
      </c>
      <c r="L222" s="192" t="s">
        <v>963</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25">
      <c r="A223" s="137"/>
      <c r="B223" s="137"/>
      <c r="C223" s="137"/>
      <c r="D223" s="137"/>
      <c r="E223" s="137"/>
      <c r="F223" s="137"/>
      <c r="G223" s="145"/>
      <c r="H223" s="390"/>
      <c r="I223" s="137"/>
      <c r="J223" s="351"/>
      <c r="K223" s="203" t="s">
        <v>1040</v>
      </c>
      <c r="L223" s="203" t="s">
        <v>964</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25">
      <c r="G224" s="145"/>
      <c r="H224" s="390"/>
      <c r="J224" s="351"/>
      <c r="K224" s="201" t="s">
        <v>1041</v>
      </c>
      <c r="L224" s="201" t="s">
        <v>962</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25">
      <c r="A225" s="137"/>
      <c r="B225" s="137"/>
      <c r="C225" s="137"/>
      <c r="D225" s="137"/>
      <c r="E225" s="137"/>
      <c r="F225" s="137"/>
      <c r="G225" s="145"/>
      <c r="H225" s="390"/>
      <c r="I225" s="137"/>
      <c r="J225" s="351"/>
      <c r="K225" s="142" t="s">
        <v>1041</v>
      </c>
      <c r="L225" s="192" t="s">
        <v>963</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25">
      <c r="A226" s="137"/>
      <c r="B226" s="137"/>
      <c r="C226" s="137"/>
      <c r="D226" s="137"/>
      <c r="E226" s="137"/>
      <c r="F226" s="137"/>
      <c r="G226" s="145"/>
      <c r="H226" s="390"/>
      <c r="I226" s="137"/>
      <c r="J226" s="351"/>
      <c r="K226" s="203" t="s">
        <v>1041</v>
      </c>
      <c r="L226" s="203" t="s">
        <v>964</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25">
      <c r="G227" s="145"/>
      <c r="H227" s="390"/>
      <c r="J227" s="351"/>
      <c r="K227" s="201" t="s">
        <v>1042</v>
      </c>
      <c r="L227" s="201" t="s">
        <v>962</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25">
      <c r="G228" s="145"/>
      <c r="H228" s="390"/>
      <c r="J228" s="351"/>
      <c r="K228" s="142" t="s">
        <v>1042</v>
      </c>
      <c r="L228" s="192" t="s">
        <v>963</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3">
      <c r="G229" s="145"/>
      <c r="H229" s="390"/>
      <c r="J229" s="351"/>
      <c r="K229" s="203" t="s">
        <v>1042</v>
      </c>
      <c r="L229" s="203" t="s">
        <v>964</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2">
      <c r="G230" s="145"/>
      <c r="H230" s="390"/>
      <c r="J230" s="351"/>
      <c r="K230" s="201" t="s">
        <v>1043</v>
      </c>
      <c r="L230" s="201" t="s">
        <v>962</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2">
      <c r="G231" s="145"/>
      <c r="H231" s="390"/>
      <c r="J231" s="351"/>
      <c r="K231" s="142" t="s">
        <v>1043</v>
      </c>
      <c r="L231" s="192" t="s">
        <v>963</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25">
      <c r="G232" s="145"/>
      <c r="H232" s="390"/>
      <c r="J232" s="351"/>
      <c r="K232" s="203" t="s">
        <v>1043</v>
      </c>
      <c r="L232" s="203" t="s">
        <v>964</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2">
      <c r="G233" s="145"/>
      <c r="H233" s="390"/>
      <c r="J233" s="351"/>
      <c r="K233" s="201" t="s">
        <v>1044</v>
      </c>
      <c r="L233" s="201" t="s">
        <v>962</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25">
      <c r="G234" s="145"/>
      <c r="H234" s="390"/>
      <c r="J234" s="351"/>
      <c r="K234" s="142" t="s">
        <v>1044</v>
      </c>
      <c r="L234" s="192" t="s">
        <v>963</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25">
      <c r="G235" s="145"/>
      <c r="H235" s="390"/>
      <c r="J235" s="351"/>
      <c r="K235" s="203" t="s">
        <v>1044</v>
      </c>
      <c r="L235" s="203" t="s">
        <v>964</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25">
      <c r="G236" s="145"/>
      <c r="H236" s="390"/>
      <c r="J236" s="351"/>
      <c r="K236" s="201" t="s">
        <v>1045</v>
      </c>
      <c r="L236" s="201" t="s">
        <v>962</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25">
      <c r="A237" s="137"/>
      <c r="B237" s="137"/>
      <c r="C237" s="137"/>
      <c r="D237" s="137"/>
      <c r="E237" s="137"/>
      <c r="F237" s="137"/>
      <c r="G237" s="145"/>
      <c r="H237" s="390"/>
      <c r="I237" s="137"/>
      <c r="J237" s="351"/>
      <c r="K237" s="142" t="s">
        <v>1045</v>
      </c>
      <c r="L237" s="192" t="s">
        <v>963</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25">
      <c r="A238" s="137"/>
      <c r="B238" s="137"/>
      <c r="C238" s="137"/>
      <c r="D238" s="137"/>
      <c r="E238" s="137"/>
      <c r="F238" s="137"/>
      <c r="G238" s="145"/>
      <c r="H238" s="390"/>
      <c r="I238" s="137"/>
      <c r="J238" s="351"/>
      <c r="K238" s="203" t="s">
        <v>1045</v>
      </c>
      <c r="L238" s="203" t="s">
        <v>964</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25">
      <c r="G239" s="145"/>
      <c r="H239" s="390"/>
      <c r="J239" s="351"/>
      <c r="K239" s="201" t="s">
        <v>1046</v>
      </c>
      <c r="L239" s="201" t="s">
        <v>962</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25">
      <c r="A240" s="137"/>
      <c r="B240" s="137"/>
      <c r="C240" s="137"/>
      <c r="D240" s="137"/>
      <c r="E240" s="137"/>
      <c r="F240" s="137"/>
      <c r="G240" s="145"/>
      <c r="H240" s="390"/>
      <c r="I240" s="137"/>
      <c r="J240" s="351"/>
      <c r="K240" s="142" t="s">
        <v>1046</v>
      </c>
      <c r="L240" s="192" t="s">
        <v>963</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25">
      <c r="A241" s="137"/>
      <c r="B241" s="137"/>
      <c r="C241" s="137"/>
      <c r="D241" s="137"/>
      <c r="E241" s="137"/>
      <c r="F241" s="137"/>
      <c r="G241" s="145"/>
      <c r="H241" s="390"/>
      <c r="I241" s="137"/>
      <c r="J241" s="351"/>
      <c r="K241" s="203" t="s">
        <v>1046</v>
      </c>
      <c r="L241" s="203" t="s">
        <v>964</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25">
      <c r="G242" s="145"/>
      <c r="H242" s="390"/>
      <c r="J242" s="351"/>
      <c r="K242" s="201" t="s">
        <v>1047</v>
      </c>
      <c r="L242" s="201" t="s">
        <v>962</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25">
      <c r="G243" s="145"/>
      <c r="H243" s="390"/>
      <c r="J243" s="351"/>
      <c r="K243" s="142" t="s">
        <v>1047</v>
      </c>
      <c r="L243" s="192" t="s">
        <v>963</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25">
      <c r="G244" s="145"/>
      <c r="H244" s="390"/>
      <c r="J244" s="384"/>
      <c r="K244" s="203" t="s">
        <v>1047</v>
      </c>
      <c r="L244" s="203" t="s">
        <v>964</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25">
      <c r="G245" s="145"/>
      <c r="H245" s="390"/>
      <c r="J245" s="208"/>
      <c r="K245" s="142"/>
      <c r="L245" s="142"/>
      <c r="AX245"/>
      <c r="AY245"/>
    </row>
    <row r="246" spans="1:97" ht="14.25" customHeight="1" x14ac:dyDescent="0.2">
      <c r="G246" s="145"/>
      <c r="H246" s="390"/>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2">
      <c r="G247" s="145"/>
      <c r="H247" s="390"/>
      <c r="J247" s="350" t="s">
        <v>983</v>
      </c>
      <c r="K247" s="201" t="s">
        <v>1037</v>
      </c>
      <c r="L247" s="201" t="s">
        <v>962</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25">
      <c r="G248" s="145"/>
      <c r="H248" s="390"/>
      <c r="J248" s="351"/>
      <c r="K248" s="142" t="s">
        <v>1037</v>
      </c>
      <c r="L248" s="192" t="s">
        <v>963</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25">
      <c r="G249" s="145"/>
      <c r="H249" s="390"/>
      <c r="J249" s="351"/>
      <c r="K249" s="203" t="s">
        <v>1037</v>
      </c>
      <c r="L249" s="203" t="s">
        <v>964</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2">
      <c r="G250" s="145"/>
      <c r="H250" s="390"/>
      <c r="J250" s="351"/>
      <c r="K250" s="201" t="s">
        <v>1039</v>
      </c>
      <c r="L250" s="201" t="s">
        <v>962</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25">
      <c r="G251" s="145"/>
      <c r="H251" s="390"/>
      <c r="J251" s="351"/>
      <c r="K251" s="142" t="s">
        <v>1039</v>
      </c>
      <c r="L251" s="192" t="s">
        <v>963</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3">
      <c r="G252" s="145"/>
      <c r="H252" s="390"/>
      <c r="J252" s="351"/>
      <c r="K252" s="203" t="s">
        <v>1039</v>
      </c>
      <c r="L252" s="203" t="s">
        <v>964</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25">
      <c r="G253" s="145"/>
      <c r="H253" s="390"/>
      <c r="J253" s="351"/>
      <c r="K253" s="201" t="s">
        <v>1040</v>
      </c>
      <c r="L253" s="201" t="s">
        <v>962</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25">
      <c r="G254" s="145"/>
      <c r="H254" s="390"/>
      <c r="J254" s="351"/>
      <c r="K254" s="142" t="s">
        <v>1040</v>
      </c>
      <c r="L254" s="192" t="s">
        <v>963</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
      <c r="G255" s="145"/>
      <c r="H255" s="390"/>
      <c r="J255" s="351"/>
      <c r="K255" s="203" t="s">
        <v>1040</v>
      </c>
      <c r="L255" s="203" t="s">
        <v>964</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25">
      <c r="G256" s="145"/>
      <c r="H256" s="390"/>
      <c r="J256" s="351"/>
      <c r="K256" s="201" t="s">
        <v>1041</v>
      </c>
      <c r="L256" s="201" t="s">
        <v>962</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25">
      <c r="G257" s="145"/>
      <c r="H257" s="390"/>
      <c r="J257" s="351"/>
      <c r="K257" s="142" t="s">
        <v>1041</v>
      </c>
      <c r="L257" s="192" t="s">
        <v>963</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
      <c r="G258" s="145"/>
      <c r="H258" s="390"/>
      <c r="J258" s="351"/>
      <c r="K258" s="203" t="s">
        <v>1041</v>
      </c>
      <c r="L258" s="203" t="s">
        <v>964</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25">
      <c r="G259" s="145"/>
      <c r="H259" s="390"/>
      <c r="J259" s="351"/>
      <c r="K259" s="201" t="s">
        <v>1042</v>
      </c>
      <c r="L259" s="201" t="s">
        <v>962</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25">
      <c r="G260" s="145"/>
      <c r="H260" s="390"/>
      <c r="J260" s="351"/>
      <c r="K260" s="142" t="s">
        <v>1042</v>
      </c>
      <c r="L260" s="192" t="s">
        <v>963</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
      <c r="G261" s="145"/>
      <c r="H261" s="390"/>
      <c r="J261" s="351"/>
      <c r="K261" s="203" t="s">
        <v>1042</v>
      </c>
      <c r="L261" s="203" t="s">
        <v>964</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2">
      <c r="G262" s="145"/>
      <c r="H262" s="390"/>
      <c r="J262" s="351"/>
      <c r="K262" s="201" t="s">
        <v>1043</v>
      </c>
      <c r="L262" s="201" t="s">
        <v>962</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25">
      <c r="G263" s="145"/>
      <c r="H263" s="390"/>
      <c r="J263" s="351"/>
      <c r="K263" s="142" t="s">
        <v>1043</v>
      </c>
      <c r="L263" s="192" t="s">
        <v>963</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25">
      <c r="G264" s="145"/>
      <c r="H264" s="390"/>
      <c r="J264" s="351"/>
      <c r="K264" s="203" t="s">
        <v>1043</v>
      </c>
      <c r="L264" s="203" t="s">
        <v>964</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2">
      <c r="G265" s="145"/>
      <c r="H265" s="390"/>
      <c r="J265" s="351"/>
      <c r="K265" s="201" t="s">
        <v>1044</v>
      </c>
      <c r="L265" s="201" t="s">
        <v>962</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25">
      <c r="G266" s="145"/>
      <c r="H266" s="390"/>
      <c r="J266" s="351"/>
      <c r="K266" s="142" t="s">
        <v>1044</v>
      </c>
      <c r="L266" s="192" t="s">
        <v>963</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3">
      <c r="G267" s="145"/>
      <c r="H267" s="390"/>
      <c r="J267" s="351"/>
      <c r="K267" s="203" t="s">
        <v>1044</v>
      </c>
      <c r="L267" s="203" t="s">
        <v>964</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25">
      <c r="G268" s="145"/>
      <c r="H268" s="390"/>
      <c r="J268" s="351"/>
      <c r="K268" s="201" t="s">
        <v>1045</v>
      </c>
      <c r="L268" s="201" t="s">
        <v>962</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25">
      <c r="G269" s="145"/>
      <c r="H269" s="390"/>
      <c r="J269" s="351"/>
      <c r="K269" s="142" t="s">
        <v>1045</v>
      </c>
      <c r="L269" s="192" t="s">
        <v>963</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
      <c r="G270" s="145"/>
      <c r="H270" s="390"/>
      <c r="J270" s="351"/>
      <c r="K270" s="203" t="s">
        <v>1045</v>
      </c>
      <c r="L270" s="203" t="s">
        <v>964</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25">
      <c r="G271" s="145"/>
      <c r="H271" s="390"/>
      <c r="J271" s="351"/>
      <c r="K271" s="201" t="s">
        <v>1046</v>
      </c>
      <c r="L271" s="201" t="s">
        <v>962</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25">
      <c r="G272" s="145"/>
      <c r="H272" s="390"/>
      <c r="J272" s="351"/>
      <c r="K272" s="142" t="s">
        <v>1046</v>
      </c>
      <c r="L272" s="192" t="s">
        <v>963</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
      <c r="G273" s="145"/>
      <c r="H273" s="390"/>
      <c r="J273" s="351"/>
      <c r="K273" s="203" t="s">
        <v>1046</v>
      </c>
      <c r="L273" s="203" t="s">
        <v>964</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25">
      <c r="G274" s="145"/>
      <c r="H274" s="390"/>
      <c r="J274" s="351"/>
      <c r="K274" s="201" t="s">
        <v>1047</v>
      </c>
      <c r="L274" s="201" t="s">
        <v>962</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25">
      <c r="G275" s="145"/>
      <c r="H275" s="390"/>
      <c r="J275" s="351"/>
      <c r="K275" s="142" t="s">
        <v>1047</v>
      </c>
      <c r="L275" s="192" t="s">
        <v>963</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
      <c r="G276" s="145"/>
      <c r="H276" s="390"/>
      <c r="J276" s="384"/>
      <c r="K276" s="203" t="s">
        <v>1047</v>
      </c>
      <c r="L276" s="203" t="s">
        <v>964</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25">
      <c r="G277" s="145"/>
      <c r="H277" s="390"/>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2">
      <c r="A278" s="137" t="s">
        <v>916</v>
      </c>
      <c r="G278" s="145"/>
      <c r="H278" s="390"/>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2">
      <c r="G279" s="145"/>
      <c r="H279" s="390"/>
      <c r="J279" s="350" t="s">
        <v>984</v>
      </c>
      <c r="K279" s="201" t="s">
        <v>1037</v>
      </c>
      <c r="L279" s="201" t="s">
        <v>962</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25">
      <c r="G280" s="145"/>
      <c r="H280" s="390"/>
      <c r="J280" s="351"/>
      <c r="K280" s="142" t="s">
        <v>1037</v>
      </c>
      <c r="L280" s="192" t="s">
        <v>963</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25">
      <c r="G281" s="145"/>
      <c r="H281" s="390"/>
      <c r="J281" s="351"/>
      <c r="K281" s="203" t="s">
        <v>1037</v>
      </c>
      <c r="L281" s="203" t="s">
        <v>964</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2">
      <c r="G282" s="145"/>
      <c r="H282" s="390"/>
      <c r="J282" s="351"/>
      <c r="K282" s="201" t="s">
        <v>1039</v>
      </c>
      <c r="L282" s="201" t="s">
        <v>962</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25">
      <c r="G283" s="145"/>
      <c r="H283" s="390"/>
      <c r="J283" s="351"/>
      <c r="K283" s="142" t="s">
        <v>1039</v>
      </c>
      <c r="L283" s="192" t="s">
        <v>963</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25">
      <c r="G284" s="145"/>
      <c r="H284" s="390"/>
      <c r="J284" s="351"/>
      <c r="K284" s="203" t="s">
        <v>1039</v>
      </c>
      <c r="L284" s="203" t="s">
        <v>964</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2">
      <c r="G285" s="145"/>
      <c r="H285" s="390"/>
      <c r="J285" s="351"/>
      <c r="K285" s="201" t="s">
        <v>1040</v>
      </c>
      <c r="L285" s="201" t="s">
        <v>962</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2">
      <c r="G286" s="145"/>
      <c r="H286" s="390"/>
      <c r="J286" s="351"/>
      <c r="K286" s="142" t="s">
        <v>1040</v>
      </c>
      <c r="L286" s="192" t="s">
        <v>963</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25">
      <c r="G287" s="145"/>
      <c r="H287" s="390"/>
      <c r="J287" s="351"/>
      <c r="K287" s="203" t="s">
        <v>1040</v>
      </c>
      <c r="L287" s="203" t="s">
        <v>964</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2">
      <c r="G288" s="145"/>
      <c r="H288" s="390"/>
      <c r="J288" s="351"/>
      <c r="K288" s="201" t="s">
        <v>1041</v>
      </c>
      <c r="L288" s="201" t="s">
        <v>962</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2">
      <c r="G289" s="145"/>
      <c r="H289" s="390"/>
      <c r="J289" s="351"/>
      <c r="K289" s="142" t="s">
        <v>1041</v>
      </c>
      <c r="L289" s="192" t="s">
        <v>963</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25">
      <c r="G290" s="145"/>
      <c r="H290" s="390"/>
      <c r="J290" s="351"/>
      <c r="K290" s="203" t="s">
        <v>1041</v>
      </c>
      <c r="L290" s="203" t="s">
        <v>964</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2">
      <c r="G291" s="145"/>
      <c r="H291" s="390"/>
      <c r="J291" s="351"/>
      <c r="K291" s="201" t="s">
        <v>1042</v>
      </c>
      <c r="L291" s="201" t="s">
        <v>962</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2">
      <c r="G292" s="145"/>
      <c r="H292" s="390"/>
      <c r="J292" s="351"/>
      <c r="K292" s="142" t="s">
        <v>1042</v>
      </c>
      <c r="L292" s="192" t="s">
        <v>963</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2">
      <c r="G293" s="145"/>
      <c r="H293" s="390"/>
      <c r="J293" s="351"/>
      <c r="K293" s="203" t="s">
        <v>1042</v>
      </c>
      <c r="L293" s="203" t="s">
        <v>964</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2">
      <c r="G294" s="145"/>
      <c r="H294" s="390"/>
      <c r="J294" s="351"/>
      <c r="K294" s="201" t="s">
        <v>1043</v>
      </c>
      <c r="L294" s="201" t="s">
        <v>962</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25">
      <c r="G295" s="145"/>
      <c r="H295" s="390"/>
      <c r="J295" s="351"/>
      <c r="K295" s="142" t="s">
        <v>1043</v>
      </c>
      <c r="L295" s="192" t="s">
        <v>963</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25">
      <c r="G296" s="145"/>
      <c r="H296" s="390"/>
      <c r="J296" s="351"/>
      <c r="K296" s="203" t="s">
        <v>1043</v>
      </c>
      <c r="L296" s="203" t="s">
        <v>964</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2">
      <c r="G297" s="145"/>
      <c r="H297" s="390"/>
      <c r="J297" s="351"/>
      <c r="K297" s="201" t="s">
        <v>1044</v>
      </c>
      <c r="L297" s="201" t="s">
        <v>962</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25">
      <c r="G298" s="145"/>
      <c r="H298" s="390"/>
      <c r="J298" s="351"/>
      <c r="K298" s="142" t="s">
        <v>1044</v>
      </c>
      <c r="L298" s="192" t="s">
        <v>963</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25">
      <c r="G299" s="145"/>
      <c r="H299" s="390"/>
      <c r="J299" s="351"/>
      <c r="K299" s="203" t="s">
        <v>1044</v>
      </c>
      <c r="L299" s="203" t="s">
        <v>964</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2">
      <c r="G300" s="145"/>
      <c r="H300" s="390"/>
      <c r="J300" s="351"/>
      <c r="K300" s="201" t="s">
        <v>1045</v>
      </c>
      <c r="L300" s="201" t="s">
        <v>962</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2">
      <c r="G301" s="145"/>
      <c r="H301" s="390"/>
      <c r="J301" s="351"/>
      <c r="K301" s="142" t="s">
        <v>1045</v>
      </c>
      <c r="L301" s="192" t="s">
        <v>963</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25">
      <c r="G302" s="145"/>
      <c r="H302" s="390"/>
      <c r="J302" s="351"/>
      <c r="K302" s="203" t="s">
        <v>1045</v>
      </c>
      <c r="L302" s="203" t="s">
        <v>964</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2">
      <c r="G303" s="145"/>
      <c r="H303" s="390"/>
      <c r="J303" s="351"/>
      <c r="K303" s="201" t="s">
        <v>1046</v>
      </c>
      <c r="L303" s="201" t="s">
        <v>962</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2">
      <c r="G304" s="145"/>
      <c r="H304" s="390"/>
      <c r="J304" s="351"/>
      <c r="K304" s="142" t="s">
        <v>1046</v>
      </c>
      <c r="L304" s="192" t="s">
        <v>963</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25">
      <c r="G305" s="145"/>
      <c r="H305" s="390"/>
      <c r="J305" s="351"/>
      <c r="K305" s="203" t="s">
        <v>1046</v>
      </c>
      <c r="L305" s="203" t="s">
        <v>964</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2">
      <c r="G306" s="145"/>
      <c r="H306" s="390"/>
      <c r="J306" s="351"/>
      <c r="K306" s="201" t="s">
        <v>1047</v>
      </c>
      <c r="L306" s="201" t="s">
        <v>962</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2">
      <c r="G307" s="145"/>
      <c r="H307" s="390"/>
      <c r="J307" s="351"/>
      <c r="K307" s="142" t="s">
        <v>1047</v>
      </c>
      <c r="L307" s="192" t="s">
        <v>963</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2">
      <c r="G308" s="145"/>
      <c r="H308" s="390"/>
      <c r="J308" s="384"/>
      <c r="K308" s="203" t="s">
        <v>1047</v>
      </c>
      <c r="L308" s="203" t="s">
        <v>964</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2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2">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2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2">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2">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2">
      <c r="G314" s="145"/>
      <c r="H314" s="383" t="s">
        <v>985</v>
      </c>
      <c r="J314" s="350" t="s">
        <v>986</v>
      </c>
      <c r="K314" s="201" t="s">
        <v>1037</v>
      </c>
      <c r="L314" s="201" t="s">
        <v>962</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2">
      <c r="G315" s="145"/>
      <c r="H315" s="383"/>
      <c r="J315" s="351"/>
      <c r="K315" s="142" t="s">
        <v>1037</v>
      </c>
      <c r="L315" s="192" t="s">
        <v>963</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25">
      <c r="G316" s="145"/>
      <c r="H316" s="383"/>
      <c r="J316" s="351"/>
      <c r="K316" s="203" t="s">
        <v>1037</v>
      </c>
      <c r="L316" s="203" t="s">
        <v>964</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2">
      <c r="G317" s="145"/>
      <c r="H317" s="383"/>
      <c r="J317" s="351"/>
      <c r="K317" s="201" t="s">
        <v>1039</v>
      </c>
      <c r="L317" s="201" t="s">
        <v>962</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2">
      <c r="G318" s="145"/>
      <c r="H318" s="383"/>
      <c r="J318" s="351"/>
      <c r="K318" s="142" t="s">
        <v>1039</v>
      </c>
      <c r="L318" s="192" t="s">
        <v>963</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25">
      <c r="G319" s="145"/>
      <c r="H319" s="383"/>
      <c r="J319" s="351"/>
      <c r="K319" s="203" t="s">
        <v>1039</v>
      </c>
      <c r="L319" s="203" t="s">
        <v>964</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2">
      <c r="G320" s="145"/>
      <c r="H320" s="383"/>
      <c r="J320" s="351"/>
      <c r="K320" s="201" t="s">
        <v>1040</v>
      </c>
      <c r="L320" s="201" t="s">
        <v>962</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2">
      <c r="G321" s="145"/>
      <c r="H321" s="383"/>
      <c r="J321" s="351"/>
      <c r="K321" s="142" t="s">
        <v>1040</v>
      </c>
      <c r="L321" s="192" t="s">
        <v>963</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25">
      <c r="G322" s="145"/>
      <c r="H322" s="383"/>
      <c r="J322" s="351"/>
      <c r="K322" s="203" t="s">
        <v>1040</v>
      </c>
      <c r="L322" s="203" t="s">
        <v>964</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2">
      <c r="G323" s="145"/>
      <c r="H323" s="383"/>
      <c r="J323" s="351"/>
      <c r="K323" s="201" t="s">
        <v>1041</v>
      </c>
      <c r="L323" s="201" t="s">
        <v>962</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2">
      <c r="G324" s="145"/>
      <c r="H324" s="383"/>
      <c r="J324" s="351"/>
      <c r="K324" s="142" t="s">
        <v>1041</v>
      </c>
      <c r="L324" s="192" t="s">
        <v>963</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25">
      <c r="G325" s="145"/>
      <c r="H325" s="383"/>
      <c r="J325" s="351"/>
      <c r="K325" s="203" t="s">
        <v>1041</v>
      </c>
      <c r="L325" s="203" t="s">
        <v>964</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2">
      <c r="G326" s="145"/>
      <c r="H326" s="383"/>
      <c r="J326" s="351"/>
      <c r="K326" s="201" t="s">
        <v>1042</v>
      </c>
      <c r="L326" s="201" t="s">
        <v>962</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2">
      <c r="G327" s="145"/>
      <c r="H327" s="383"/>
      <c r="J327" s="351"/>
      <c r="K327" s="142" t="s">
        <v>1042</v>
      </c>
      <c r="L327" s="192" t="s">
        <v>963</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2">
      <c r="G328" s="145"/>
      <c r="H328" s="383"/>
      <c r="J328" s="351"/>
      <c r="K328" s="203" t="s">
        <v>1042</v>
      </c>
      <c r="L328" s="203" t="s">
        <v>964</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2">
      <c r="G329" s="145"/>
      <c r="H329" s="383"/>
      <c r="J329" s="351"/>
      <c r="K329" s="201" t="s">
        <v>1043</v>
      </c>
      <c r="L329" s="201" t="s">
        <v>962</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2">
      <c r="G330" s="145"/>
      <c r="H330" s="383"/>
      <c r="J330" s="351"/>
      <c r="K330" s="142" t="s">
        <v>1043</v>
      </c>
      <c r="L330" s="192" t="s">
        <v>963</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25">
      <c r="G331" s="145"/>
      <c r="H331" s="383"/>
      <c r="J331" s="351"/>
      <c r="K331" s="203" t="s">
        <v>1043</v>
      </c>
      <c r="L331" s="203" t="s">
        <v>964</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2">
      <c r="G332" s="145"/>
      <c r="H332" s="383"/>
      <c r="J332" s="351"/>
      <c r="K332" s="201" t="s">
        <v>1044</v>
      </c>
      <c r="L332" s="201" t="s">
        <v>962</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2">
      <c r="G333" s="145"/>
      <c r="H333" s="383"/>
      <c r="J333" s="351"/>
      <c r="K333" s="142" t="s">
        <v>1044</v>
      </c>
      <c r="L333" s="192" t="s">
        <v>963</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25">
      <c r="G334" s="145"/>
      <c r="H334" s="383"/>
      <c r="J334" s="351"/>
      <c r="K334" s="203" t="s">
        <v>1044</v>
      </c>
      <c r="L334" s="203" t="s">
        <v>964</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2">
      <c r="G335" s="145"/>
      <c r="H335" s="383"/>
      <c r="J335" s="351"/>
      <c r="K335" s="201" t="s">
        <v>1045</v>
      </c>
      <c r="L335" s="201" t="s">
        <v>962</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2">
      <c r="G336" s="145"/>
      <c r="H336" s="383"/>
      <c r="J336" s="351"/>
      <c r="K336" s="142" t="s">
        <v>1045</v>
      </c>
      <c r="L336" s="192" t="s">
        <v>963</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25">
      <c r="G337" s="145"/>
      <c r="H337" s="383"/>
      <c r="J337" s="351"/>
      <c r="K337" s="203" t="s">
        <v>1045</v>
      </c>
      <c r="L337" s="203" t="s">
        <v>964</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2">
      <c r="G338" s="145"/>
      <c r="H338" s="383"/>
      <c r="J338" s="351"/>
      <c r="K338" s="201" t="s">
        <v>1046</v>
      </c>
      <c r="L338" s="201" t="s">
        <v>962</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2">
      <c r="G339" s="145"/>
      <c r="H339" s="383"/>
      <c r="J339" s="351"/>
      <c r="K339" s="142" t="s">
        <v>1046</v>
      </c>
      <c r="L339" s="192" t="s">
        <v>963</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25">
      <c r="G340" s="145"/>
      <c r="H340" s="383"/>
      <c r="J340" s="351"/>
      <c r="K340" s="203" t="s">
        <v>1046</v>
      </c>
      <c r="L340" s="203" t="s">
        <v>964</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2">
      <c r="G341" s="145"/>
      <c r="H341" s="383"/>
      <c r="J341" s="351"/>
      <c r="K341" s="201" t="s">
        <v>1047</v>
      </c>
      <c r="L341" s="201" t="s">
        <v>962</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2">
      <c r="G342" s="145"/>
      <c r="H342" s="383"/>
      <c r="J342" s="351"/>
      <c r="K342" s="142" t="s">
        <v>1047</v>
      </c>
      <c r="L342" s="192" t="s">
        <v>963</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2">
      <c r="G343" s="145"/>
      <c r="H343" s="383"/>
      <c r="J343" s="384"/>
      <c r="K343" s="203" t="s">
        <v>1047</v>
      </c>
      <c r="L343" s="203" t="s">
        <v>964</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2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2">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2">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2">
      <c r="G347" s="145"/>
      <c r="H347" s="385" t="s">
        <v>987</v>
      </c>
      <c r="J347" s="387" t="s">
        <v>988</v>
      </c>
      <c r="K347" s="201" t="s">
        <v>1037</v>
      </c>
      <c r="L347" s="201" t="s">
        <v>962</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2">
      <c r="G348" s="145"/>
      <c r="H348" s="385"/>
      <c r="J348" s="387"/>
      <c r="K348" s="142" t="s">
        <v>1037</v>
      </c>
      <c r="L348" s="192" t="s">
        <v>963</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25">
      <c r="G349" s="145"/>
      <c r="H349" s="385"/>
      <c r="J349" s="387"/>
      <c r="K349" s="203" t="s">
        <v>1037</v>
      </c>
      <c r="L349" s="203" t="s">
        <v>964</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2">
      <c r="G350" s="145"/>
      <c r="H350" s="385"/>
      <c r="J350" s="387"/>
      <c r="K350" s="201" t="s">
        <v>1039</v>
      </c>
      <c r="L350" s="201" t="s">
        <v>962</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2">
      <c r="G351" s="145"/>
      <c r="H351" s="385"/>
      <c r="J351" s="387"/>
      <c r="K351" s="142" t="s">
        <v>1039</v>
      </c>
      <c r="L351" s="192" t="s">
        <v>963</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25">
      <c r="G352" s="145"/>
      <c r="H352" s="385"/>
      <c r="J352" s="387"/>
      <c r="K352" s="203" t="s">
        <v>1039</v>
      </c>
      <c r="L352" s="203" t="s">
        <v>964</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2">
      <c r="G353" s="145"/>
      <c r="H353" s="385"/>
      <c r="J353" s="387"/>
      <c r="K353" s="201" t="s">
        <v>1040</v>
      </c>
      <c r="L353" s="201" t="s">
        <v>962</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2">
      <c r="G354" s="145"/>
      <c r="H354" s="385"/>
      <c r="J354" s="387"/>
      <c r="K354" s="142" t="s">
        <v>1040</v>
      </c>
      <c r="L354" s="192" t="s">
        <v>963</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25">
      <c r="G355" s="145"/>
      <c r="H355" s="385"/>
      <c r="J355" s="387"/>
      <c r="K355" s="203" t="s">
        <v>1040</v>
      </c>
      <c r="L355" s="203" t="s">
        <v>964</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2">
      <c r="G356" s="145"/>
      <c r="H356" s="385"/>
      <c r="J356" s="387"/>
      <c r="K356" s="201" t="s">
        <v>1041</v>
      </c>
      <c r="L356" s="201" t="s">
        <v>962</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2">
      <c r="G357" s="145"/>
      <c r="H357" s="385"/>
      <c r="J357" s="387"/>
      <c r="K357" s="142" t="s">
        <v>1041</v>
      </c>
      <c r="L357" s="192" t="s">
        <v>963</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25">
      <c r="G358" s="145"/>
      <c r="H358" s="385"/>
      <c r="J358" s="387"/>
      <c r="K358" s="203" t="s">
        <v>1041</v>
      </c>
      <c r="L358" s="203" t="s">
        <v>964</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2">
      <c r="G359" s="145"/>
      <c r="H359" s="385"/>
      <c r="J359" s="387"/>
      <c r="K359" s="201" t="s">
        <v>1042</v>
      </c>
      <c r="L359" s="201" t="s">
        <v>962</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2">
      <c r="G360" s="145"/>
      <c r="H360" s="385"/>
      <c r="J360" s="387"/>
      <c r="K360" s="142" t="s">
        <v>1042</v>
      </c>
      <c r="L360" s="192" t="s">
        <v>963</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25">
      <c r="G361" s="145"/>
      <c r="H361" s="385"/>
      <c r="J361" s="387"/>
      <c r="K361" s="203" t="s">
        <v>1042</v>
      </c>
      <c r="L361" s="203" t="s">
        <v>964</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2">
      <c r="G362" s="145"/>
      <c r="H362" s="385"/>
      <c r="J362" s="387"/>
      <c r="K362" s="201" t="s">
        <v>1043</v>
      </c>
      <c r="L362" s="201" t="s">
        <v>962</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2">
      <c r="G363" s="145"/>
      <c r="H363" s="385"/>
      <c r="J363" s="387"/>
      <c r="K363" s="142" t="s">
        <v>1043</v>
      </c>
      <c r="L363" s="192" t="s">
        <v>963</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25">
      <c r="G364" s="145"/>
      <c r="H364" s="385"/>
      <c r="J364" s="387"/>
      <c r="K364" s="203" t="s">
        <v>1043</v>
      </c>
      <c r="L364" s="203" t="s">
        <v>964</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2">
      <c r="G365" s="145"/>
      <c r="H365" s="385"/>
      <c r="J365" s="387"/>
      <c r="K365" s="201" t="s">
        <v>1044</v>
      </c>
      <c r="L365" s="201" t="s">
        <v>962</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2">
      <c r="G366" s="145"/>
      <c r="H366" s="385"/>
      <c r="J366" s="387"/>
      <c r="K366" s="142" t="s">
        <v>1044</v>
      </c>
      <c r="L366" s="192" t="s">
        <v>963</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25">
      <c r="G367" s="145"/>
      <c r="H367" s="385"/>
      <c r="J367" s="387"/>
      <c r="K367" s="203" t="s">
        <v>1044</v>
      </c>
      <c r="L367" s="203" t="s">
        <v>964</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2">
      <c r="G368" s="145"/>
      <c r="H368" s="385"/>
      <c r="J368" s="387"/>
      <c r="K368" s="201" t="s">
        <v>1045</v>
      </c>
      <c r="L368" s="201" t="s">
        <v>962</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2">
      <c r="G369" s="145"/>
      <c r="H369" s="385"/>
      <c r="J369" s="387"/>
      <c r="K369" s="142" t="s">
        <v>1045</v>
      </c>
      <c r="L369" s="192" t="s">
        <v>963</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25">
      <c r="G370" s="145"/>
      <c r="H370" s="385"/>
      <c r="J370" s="387"/>
      <c r="K370" s="203" t="s">
        <v>1045</v>
      </c>
      <c r="L370" s="203" t="s">
        <v>964</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2">
      <c r="G371" s="145"/>
      <c r="H371" s="385"/>
      <c r="J371" s="387"/>
      <c r="K371" s="201" t="s">
        <v>1046</v>
      </c>
      <c r="L371" s="201" t="s">
        <v>962</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2">
      <c r="G372" s="145"/>
      <c r="H372" s="385"/>
      <c r="J372" s="387"/>
      <c r="K372" s="142" t="s">
        <v>1046</v>
      </c>
      <c r="L372" s="192" t="s">
        <v>963</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25">
      <c r="G373" s="145"/>
      <c r="H373" s="385"/>
      <c r="J373" s="387"/>
      <c r="K373" s="203" t="s">
        <v>1046</v>
      </c>
      <c r="L373" s="203" t="s">
        <v>964</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2">
      <c r="G374" s="145"/>
      <c r="H374" s="385"/>
      <c r="J374" s="387"/>
      <c r="K374" s="201" t="s">
        <v>1047</v>
      </c>
      <c r="L374" s="201" t="s">
        <v>962</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2">
      <c r="G375" s="145"/>
      <c r="H375" s="385"/>
      <c r="J375" s="387"/>
      <c r="K375" s="142" t="s">
        <v>1047</v>
      </c>
      <c r="L375" s="192" t="s">
        <v>963</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25">
      <c r="G376" s="145"/>
      <c r="H376" s="386"/>
      <c r="J376" s="388"/>
      <c r="K376" s="203" t="s">
        <v>1047</v>
      </c>
      <c r="L376" s="203" t="s">
        <v>964</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2">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2">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2">
      <c r="G379" s="145"/>
      <c r="H379" s="389" t="s">
        <v>989</v>
      </c>
      <c r="J379" s="350" t="s">
        <v>990</v>
      </c>
      <c r="K379" s="142" t="s">
        <v>991</v>
      </c>
      <c r="L379" s="142" t="s">
        <v>962</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2">
      <c r="G380" s="145"/>
      <c r="H380" s="389"/>
      <c r="J380" s="351"/>
      <c r="K380" s="142" t="s">
        <v>991</v>
      </c>
      <c r="L380" s="142" t="s">
        <v>963</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2">
      <c r="G381" s="145"/>
      <c r="H381" s="389"/>
      <c r="J381" s="351"/>
      <c r="K381" s="142" t="s">
        <v>991</v>
      </c>
      <c r="L381" s="142" t="s">
        <v>964</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2">
      <c r="G382" s="145"/>
      <c r="H382" s="389"/>
      <c r="J382" s="351"/>
      <c r="K382" s="142" t="s">
        <v>992</v>
      </c>
      <c r="L382" s="142" t="s">
        <v>960</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2">
      <c r="G383" s="145"/>
      <c r="H383" s="389"/>
      <c r="J383" s="351"/>
      <c r="K383" s="142" t="s">
        <v>730</v>
      </c>
      <c r="L383" s="142" t="s">
        <v>962</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2">
      <c r="G384" s="145"/>
      <c r="H384" s="389"/>
      <c r="J384" s="351"/>
      <c r="K384" s="142" t="s">
        <v>730</v>
      </c>
      <c r="L384" s="142" t="s">
        <v>963</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2">
      <c r="G385" s="145"/>
      <c r="H385" s="389"/>
      <c r="J385" s="351"/>
      <c r="K385" s="142" t="s">
        <v>730</v>
      </c>
      <c r="L385" s="142" t="s">
        <v>964</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2">
      <c r="G386" s="145"/>
      <c r="H386" s="389"/>
      <c r="J386" s="351"/>
      <c r="K386" s="142" t="s">
        <v>993</v>
      </c>
      <c r="L386" s="142" t="s">
        <v>962</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2">
      <c r="G387" s="145"/>
      <c r="H387" s="389"/>
      <c r="J387" s="351"/>
      <c r="K387" s="142" t="s">
        <v>993</v>
      </c>
      <c r="L387" s="142" t="s">
        <v>963</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2">
      <c r="G388" s="145"/>
      <c r="H388" s="389"/>
      <c r="J388" s="351"/>
      <c r="K388" s="142" t="s">
        <v>993</v>
      </c>
      <c r="L388" s="142" t="s">
        <v>964</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2">
      <c r="G389" s="145"/>
      <c r="H389" s="389"/>
      <c r="J389" s="351"/>
      <c r="K389" s="142" t="s">
        <v>994</v>
      </c>
      <c r="L389" s="142" t="s">
        <v>962</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2">
      <c r="G390" s="145"/>
      <c r="H390" s="389"/>
      <c r="J390" s="351"/>
      <c r="K390" s="142" t="s">
        <v>994</v>
      </c>
      <c r="L390" s="142" t="s">
        <v>963</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2">
      <c r="G391" s="145"/>
      <c r="H391" s="389"/>
      <c r="J391" s="351"/>
      <c r="K391" s="142" t="s">
        <v>994</v>
      </c>
      <c r="L391" s="142" t="s">
        <v>964</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2">
      <c r="G392" s="145"/>
      <c r="H392" s="240"/>
      <c r="I392" s="246" t="s">
        <v>995</v>
      </c>
      <c r="J392" s="247"/>
      <c r="K392" s="248" t="s">
        <v>997</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2">
      <c r="G393" s="145"/>
      <c r="H393" s="240"/>
      <c r="I393" s="137">
        <v>0.2</v>
      </c>
      <c r="J393" s="251" t="s">
        <v>996</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2">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2">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2">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2">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2">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2">
      <c r="G399" s="145"/>
      <c r="H399" s="240"/>
      <c r="J399" s="251"/>
      <c r="K399" s="248" t="s">
        <v>998</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2">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2">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2">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2">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2">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2">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2">
      <c r="G406" s="145"/>
      <c r="H406" s="240"/>
      <c r="J406" s="251"/>
      <c r="K406" s="249" t="s">
        <v>999</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2">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2">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2">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2">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2">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2">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2">
      <c r="G413" s="315"/>
      <c r="J413" s="316"/>
      <c r="K413" s="316"/>
      <c r="L413" s="316"/>
      <c r="M413" s="316"/>
      <c r="N413" s="316"/>
    </row>
    <row r="414" spans="6:42" ht="15.75" customHeight="1" thickBot="1" x14ac:dyDescent="0.2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25">
      <c r="F415" s="257"/>
      <c r="H415" s="240"/>
      <c r="J415" s="350" t="s">
        <v>1000</v>
      </c>
      <c r="K415" s="142" t="s">
        <v>1001</v>
      </c>
      <c r="L415" s="142" t="s">
        <v>962</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25">
      <c r="F416" s="257"/>
      <c r="H416" s="240"/>
      <c r="J416" s="351"/>
      <c r="K416" s="142" t="s">
        <v>1001</v>
      </c>
      <c r="L416" s="142" t="s">
        <v>963</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2">
      <c r="F417" s="257"/>
      <c r="H417" s="240"/>
      <c r="J417" s="351"/>
      <c r="K417" s="142" t="s">
        <v>1001</v>
      </c>
      <c r="L417" s="142" t="s">
        <v>964</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25">
      <c r="F418" s="257"/>
      <c r="H418" s="240"/>
      <c r="J418" s="132"/>
    </row>
    <row r="419" spans="6:42" ht="14.25" customHeight="1" thickTop="1" thickBot="1" x14ac:dyDescent="0.25">
      <c r="F419" s="257"/>
      <c r="H419" s="240"/>
      <c r="J419" s="251"/>
      <c r="K419" s="142" t="s">
        <v>1002</v>
      </c>
      <c r="L419" s="142" t="s">
        <v>960</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25">
      <c r="F420" s="257"/>
      <c r="H420" s="240"/>
      <c r="J420" s="251"/>
      <c r="K420" s="142" t="s">
        <v>1003</v>
      </c>
      <c r="L420" s="142" t="s">
        <v>960</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25">
      <c r="F421" s="257"/>
      <c r="H421" s="240"/>
      <c r="J421" s="251"/>
      <c r="K421" s="142" t="s">
        <v>1004</v>
      </c>
      <c r="L421" s="142" t="s">
        <v>960</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25">
      <c r="F422" s="257"/>
      <c r="H422" s="240"/>
      <c r="J422" s="251"/>
      <c r="K422" s="142" t="s">
        <v>1005</v>
      </c>
      <c r="L422" s="142" t="s">
        <v>962</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25">
      <c r="F423" s="257"/>
      <c r="H423" s="240"/>
      <c r="J423" s="251"/>
      <c r="K423" s="142" t="s">
        <v>1006</v>
      </c>
      <c r="L423" s="142" t="s">
        <v>962</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25">
      <c r="F424" s="257"/>
      <c r="H424" s="240"/>
      <c r="J424" s="251"/>
      <c r="K424" s="142" t="s">
        <v>1007</v>
      </c>
      <c r="L424" s="142" t="s">
        <v>962</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25">
      <c r="F425" s="257"/>
      <c r="H425" s="240"/>
      <c r="J425" s="251"/>
      <c r="K425" s="142" t="s">
        <v>1005</v>
      </c>
      <c r="L425" s="142" t="s">
        <v>963</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25">
      <c r="F426" s="257"/>
      <c r="H426" s="240"/>
      <c r="J426" s="251"/>
      <c r="K426" s="142" t="s">
        <v>1006</v>
      </c>
      <c r="L426" s="142" t="s">
        <v>963</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25">
      <c r="F427" s="257"/>
      <c r="H427" s="240"/>
      <c r="J427" s="251"/>
      <c r="K427" s="142" t="s">
        <v>1007</v>
      </c>
      <c r="L427" s="142" t="s">
        <v>963</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25">
      <c r="F428" s="257"/>
      <c r="H428" s="240"/>
      <c r="J428" s="251"/>
      <c r="K428" s="142" t="s">
        <v>1005</v>
      </c>
      <c r="L428" s="142" t="s">
        <v>964</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25">
      <c r="F429" s="257"/>
      <c r="H429" s="240"/>
      <c r="J429" s="251"/>
      <c r="K429" s="142" t="s">
        <v>1006</v>
      </c>
      <c r="L429" s="142" t="s">
        <v>964</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2">
      <c r="F430" s="257"/>
      <c r="H430" s="240"/>
      <c r="J430" s="251"/>
      <c r="K430" s="142" t="s">
        <v>1007</v>
      </c>
      <c r="L430" s="142" t="s">
        <v>964</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2">
      <c r="C433" s="143" t="s">
        <v>892</v>
      </c>
      <c r="G433" s="379" t="s">
        <v>1008</v>
      </c>
      <c r="H433" s="380"/>
      <c r="I433" s="380"/>
      <c r="J433" s="380"/>
      <c r="K433" s="380"/>
      <c r="L433" s="380"/>
      <c r="M433" s="380"/>
      <c r="N433" s="380"/>
      <c r="O433" s="380"/>
      <c r="P433" s="380"/>
      <c r="Q433" s="380"/>
      <c r="R433" s="380"/>
      <c r="S433" s="380"/>
      <c r="T433" s="380"/>
      <c r="U433" s="380"/>
      <c r="V433" s="144"/>
      <c r="W433" s="144"/>
      <c r="X433" s="144"/>
      <c r="Y433" s="144"/>
      <c r="Z433" s="144"/>
      <c r="AA433" s="144"/>
      <c r="AB433" s="144"/>
    </row>
    <row r="434" spans="3:29" ht="14.25" customHeight="1" thickBot="1" x14ac:dyDescent="0.25">
      <c r="N434" s="317"/>
      <c r="O434" s="317"/>
      <c r="P434" s="317"/>
      <c r="Q434" s="317"/>
      <c r="R434" s="317"/>
      <c r="S434" s="317"/>
      <c r="T434" s="317"/>
      <c r="U434" s="317"/>
    </row>
    <row r="435" spans="3:29" ht="14.25" customHeight="1" x14ac:dyDescent="0.2">
      <c r="H435" s="370" t="s">
        <v>1009</v>
      </c>
      <c r="I435" s="371"/>
      <c r="J435" s="371"/>
      <c r="K435" s="371"/>
      <c r="L435" s="371"/>
      <c r="M435" s="371"/>
      <c r="N435" s="373" t="s">
        <v>1010</v>
      </c>
      <c r="O435" s="374"/>
      <c r="P435" s="374"/>
      <c r="Q435" s="374"/>
      <c r="R435" s="375"/>
      <c r="S435" s="318" t="s">
        <v>1011</v>
      </c>
      <c r="T435" s="318" t="s">
        <v>1012</v>
      </c>
      <c r="U435" s="319"/>
      <c r="V435" s="320"/>
      <c r="W435" s="320"/>
      <c r="X435" s="320"/>
      <c r="Y435" s="320"/>
      <c r="Z435" s="320"/>
      <c r="AA435" s="320"/>
      <c r="AB435" s="321"/>
    </row>
    <row r="436" spans="3:29" ht="14.25" customHeight="1" x14ac:dyDescent="0.25">
      <c r="H436" s="352" t="s">
        <v>1035</v>
      </c>
      <c r="I436" s="353"/>
      <c r="J436" s="353"/>
      <c r="K436" s="353"/>
      <c r="L436" s="353"/>
      <c r="M436" s="354"/>
      <c r="N436" s="381" t="s">
        <v>1048</v>
      </c>
      <c r="O436" s="382"/>
      <c r="P436" s="382"/>
      <c r="Q436" s="382"/>
      <c r="R436" s="382"/>
      <c r="S436" s="322"/>
      <c r="T436" s="322"/>
      <c r="U436" s="323"/>
      <c r="V436" s="323"/>
      <c r="W436" s="323"/>
      <c r="X436" s="323"/>
      <c r="Y436" s="323"/>
      <c r="Z436" s="323"/>
      <c r="AA436" s="323"/>
      <c r="AB436" s="324"/>
      <c r="AC436" s="137" t="s">
        <v>1049</v>
      </c>
    </row>
    <row r="437" spans="3:29" ht="14.25" customHeight="1" x14ac:dyDescent="0.2">
      <c r="H437" s="352" t="s">
        <v>978</v>
      </c>
      <c r="I437" s="353"/>
      <c r="J437" s="353"/>
      <c r="K437" s="353"/>
      <c r="L437" s="353"/>
      <c r="M437" s="354"/>
      <c r="N437" s="376" t="s">
        <v>1050</v>
      </c>
      <c r="O437" s="377"/>
      <c r="P437" s="377"/>
      <c r="Q437" s="377"/>
      <c r="R437" s="377"/>
      <c r="S437" s="325"/>
      <c r="T437" s="325"/>
      <c r="U437" s="326"/>
      <c r="V437" s="326"/>
      <c r="W437" s="326"/>
      <c r="X437" s="326"/>
      <c r="Y437" s="326"/>
      <c r="Z437" s="326"/>
      <c r="AA437" s="326"/>
      <c r="AB437" s="327"/>
    </row>
    <row r="438" spans="3:29" ht="30.4" customHeight="1" x14ac:dyDescent="0.25">
      <c r="H438" s="352" t="s">
        <v>982</v>
      </c>
      <c r="I438" s="353"/>
      <c r="J438" s="353"/>
      <c r="K438" s="353"/>
      <c r="L438" s="353"/>
      <c r="M438" s="354"/>
      <c r="N438" s="367" t="s">
        <v>1051</v>
      </c>
      <c r="O438" s="368"/>
      <c r="P438" s="368"/>
      <c r="Q438" s="368"/>
      <c r="R438" s="369"/>
      <c r="S438" s="328"/>
      <c r="T438" s="328"/>
      <c r="U438" s="329"/>
      <c r="V438" s="329"/>
      <c r="W438" s="329"/>
      <c r="X438" s="329"/>
      <c r="Y438" s="329"/>
      <c r="Z438" s="329"/>
      <c r="AA438" s="329"/>
      <c r="AB438" s="330"/>
      <c r="AC438" s="137" t="s">
        <v>1052</v>
      </c>
    </row>
    <row r="439" spans="3:29" ht="32.65" customHeight="1" x14ac:dyDescent="0.25">
      <c r="H439" s="352" t="s">
        <v>1017</v>
      </c>
      <c r="I439" s="353"/>
      <c r="J439" s="353"/>
      <c r="K439" s="353"/>
      <c r="L439" s="353"/>
      <c r="M439" s="354"/>
      <c r="N439" s="367" t="s">
        <v>1051</v>
      </c>
      <c r="O439" s="368"/>
      <c r="P439" s="368"/>
      <c r="Q439" s="368"/>
      <c r="R439" s="369"/>
      <c r="S439" s="331"/>
      <c r="T439" s="331"/>
      <c r="U439" s="332"/>
      <c r="V439" s="332"/>
      <c r="W439" s="332"/>
      <c r="X439" s="332"/>
      <c r="Y439" s="332"/>
      <c r="Z439" s="332"/>
      <c r="AA439" s="332"/>
      <c r="AB439" s="333"/>
      <c r="AC439" s="137" t="s">
        <v>1052</v>
      </c>
    </row>
    <row r="440" spans="3:29" ht="14.25" customHeight="1" x14ac:dyDescent="0.2">
      <c r="H440" s="352" t="s">
        <v>1018</v>
      </c>
      <c r="I440" s="353"/>
      <c r="J440" s="353"/>
      <c r="K440" s="353"/>
      <c r="L440" s="353"/>
      <c r="M440" s="354"/>
      <c r="N440" s="357" t="s">
        <v>1019</v>
      </c>
      <c r="O440" s="358"/>
      <c r="P440" s="358"/>
      <c r="Q440" s="358"/>
      <c r="R440" s="358"/>
      <c r="S440" s="334"/>
      <c r="T440" s="334"/>
      <c r="U440" s="335"/>
      <c r="V440" s="335"/>
      <c r="W440" s="335"/>
      <c r="X440" s="335"/>
      <c r="Y440" s="335"/>
      <c r="Z440" s="335"/>
      <c r="AA440" s="335"/>
      <c r="AB440" s="336"/>
    </row>
    <row r="441" spans="3:29" ht="14.25" customHeight="1" thickBot="1" x14ac:dyDescent="0.25">
      <c r="H441" s="359" t="s">
        <v>1020</v>
      </c>
      <c r="I441" s="360"/>
      <c r="J441" s="360"/>
      <c r="K441" s="360"/>
      <c r="L441" s="360"/>
      <c r="M441" s="361"/>
      <c r="N441" s="362" t="s">
        <v>1019</v>
      </c>
      <c r="O441" s="363"/>
      <c r="P441" s="363"/>
      <c r="Q441" s="363"/>
      <c r="R441" s="363"/>
      <c r="S441" s="337"/>
      <c r="T441" s="338"/>
      <c r="U441" s="338"/>
      <c r="V441" s="339"/>
      <c r="W441" s="339"/>
      <c r="X441" s="339"/>
      <c r="Y441" s="339"/>
      <c r="Z441" s="339"/>
      <c r="AA441" s="339"/>
      <c r="AB441" s="340"/>
    </row>
    <row r="442" spans="3:29" ht="14.25" customHeight="1" thickBot="1" x14ac:dyDescent="0.25">
      <c r="H442" s="378"/>
      <c r="I442" s="378"/>
      <c r="J442" s="378"/>
      <c r="K442" s="378"/>
      <c r="L442" s="378"/>
      <c r="M442" s="378"/>
      <c r="N442" s="341"/>
      <c r="O442" s="341"/>
      <c r="P442" s="341"/>
      <c r="Q442" s="341"/>
      <c r="R442" s="341"/>
      <c r="S442" s="341"/>
      <c r="T442" s="341"/>
      <c r="U442" s="342"/>
      <c r="V442" s="342"/>
      <c r="W442" s="342"/>
      <c r="X442" s="342"/>
      <c r="Y442" s="342"/>
      <c r="Z442" s="342"/>
      <c r="AA442" s="342"/>
      <c r="AB442" s="342"/>
    </row>
    <row r="443" spans="3:29" ht="14.25" customHeight="1" x14ac:dyDescent="0.2">
      <c r="H443" s="370" t="s">
        <v>1021</v>
      </c>
      <c r="I443" s="371"/>
      <c r="J443" s="371"/>
      <c r="K443" s="371"/>
      <c r="L443" s="371"/>
      <c r="M443" s="372"/>
      <c r="N443" s="373" t="s">
        <v>1010</v>
      </c>
      <c r="O443" s="374"/>
      <c r="P443" s="374"/>
      <c r="Q443" s="374"/>
      <c r="R443" s="375"/>
      <c r="S443" s="318" t="s">
        <v>1011</v>
      </c>
      <c r="T443" s="318" t="s">
        <v>1012</v>
      </c>
      <c r="U443" s="343"/>
      <c r="V443" s="343"/>
      <c r="W443" s="343"/>
      <c r="X443" s="343"/>
      <c r="Y443" s="343"/>
      <c r="Z443" s="343"/>
      <c r="AA443" s="343"/>
      <c r="AB443" s="344"/>
    </row>
    <row r="444" spans="3:29" ht="14.25" customHeight="1" x14ac:dyDescent="0.2">
      <c r="H444" s="352" t="s">
        <v>978</v>
      </c>
      <c r="I444" s="353"/>
      <c r="J444" s="353"/>
      <c r="K444" s="353"/>
      <c r="L444" s="353"/>
      <c r="M444" s="354"/>
      <c r="N444" s="355" t="s">
        <v>1053</v>
      </c>
      <c r="O444" s="356"/>
      <c r="P444" s="356"/>
      <c r="Q444" s="356"/>
      <c r="R444" s="356"/>
      <c r="S444" s="334"/>
      <c r="T444" s="334"/>
      <c r="U444" s="335"/>
      <c r="V444" s="335"/>
      <c r="W444" s="335"/>
      <c r="X444" s="335"/>
      <c r="Y444" s="335"/>
      <c r="Z444" s="335"/>
      <c r="AA444" s="335"/>
      <c r="AB444" s="345"/>
    </row>
    <row r="445" spans="3:29" ht="14.25" customHeight="1" x14ac:dyDescent="0.2">
      <c r="H445" s="352" t="s">
        <v>982</v>
      </c>
      <c r="I445" s="353"/>
      <c r="J445" s="353"/>
      <c r="K445" s="353"/>
      <c r="L445" s="353"/>
      <c r="M445" s="354"/>
      <c r="N445" s="355" t="s">
        <v>1054</v>
      </c>
      <c r="O445" s="356"/>
      <c r="P445" s="356"/>
      <c r="Q445" s="356"/>
      <c r="R445" s="356"/>
      <c r="S445" s="334"/>
      <c r="T445" s="334"/>
      <c r="U445" s="335"/>
      <c r="V445" s="335"/>
      <c r="W445" s="335"/>
      <c r="X445" s="335"/>
      <c r="Y445" s="335"/>
      <c r="Z445" s="335"/>
      <c r="AA445" s="335"/>
      <c r="AB445" s="345"/>
    </row>
    <row r="446" spans="3:29" ht="30.4" customHeight="1" x14ac:dyDescent="0.25">
      <c r="H446" s="364" t="s">
        <v>1024</v>
      </c>
      <c r="I446" s="365"/>
      <c r="J446" s="365"/>
      <c r="K446" s="365"/>
      <c r="L446" s="365"/>
      <c r="M446" s="366"/>
      <c r="N446" s="367" t="s">
        <v>1051</v>
      </c>
      <c r="O446" s="368"/>
      <c r="P446" s="368"/>
      <c r="Q446" s="368"/>
      <c r="R446" s="369"/>
      <c r="S446" s="261"/>
      <c r="T446" s="268"/>
      <c r="U446" s="261"/>
      <c r="V446" s="261"/>
      <c r="W446" s="261"/>
      <c r="X446" s="261"/>
      <c r="Y446" s="261"/>
      <c r="Z446" s="261"/>
      <c r="AA446" s="261"/>
      <c r="AB446" s="262"/>
    </row>
    <row r="447" spans="3:29" ht="30.75" customHeight="1" x14ac:dyDescent="0.2">
      <c r="H447" s="352" t="s">
        <v>1017</v>
      </c>
      <c r="I447" s="353"/>
      <c r="J447" s="353"/>
      <c r="K447" s="353"/>
      <c r="L447" s="353"/>
      <c r="M447" s="354"/>
      <c r="N447" s="355" t="s">
        <v>1054</v>
      </c>
      <c r="O447" s="356"/>
      <c r="P447" s="356"/>
      <c r="Q447" s="356"/>
      <c r="R447" s="356"/>
      <c r="S447" s="334"/>
      <c r="T447" s="334"/>
      <c r="U447" s="335"/>
      <c r="V447" s="335"/>
      <c r="W447" s="335"/>
      <c r="X447" s="335"/>
      <c r="Y447" s="335"/>
      <c r="Z447" s="335"/>
      <c r="AA447" s="335"/>
      <c r="AB447" s="345"/>
    </row>
    <row r="448" spans="3:29" ht="13.5" customHeight="1" x14ac:dyDescent="0.2">
      <c r="H448" s="352" t="s">
        <v>1018</v>
      </c>
      <c r="I448" s="353"/>
      <c r="J448" s="353"/>
      <c r="K448" s="353"/>
      <c r="L448" s="353"/>
      <c r="M448" s="354"/>
      <c r="N448" s="357" t="s">
        <v>1019</v>
      </c>
      <c r="O448" s="358"/>
      <c r="P448" s="358"/>
      <c r="Q448" s="358"/>
      <c r="R448" s="358"/>
      <c r="S448" s="334"/>
      <c r="T448" s="334"/>
      <c r="U448" s="335"/>
      <c r="V448" s="335"/>
      <c r="W448" s="335"/>
      <c r="X448" s="335"/>
      <c r="Y448" s="335"/>
      <c r="Z448" s="335"/>
      <c r="AA448" s="335"/>
      <c r="AB448" s="345"/>
    </row>
    <row r="449" spans="8:28" ht="14.25" customHeight="1" thickBot="1" x14ac:dyDescent="0.25">
      <c r="H449" s="359" t="s">
        <v>1026</v>
      </c>
      <c r="I449" s="360"/>
      <c r="J449" s="360"/>
      <c r="K449" s="360"/>
      <c r="L449" s="360"/>
      <c r="M449" s="361"/>
      <c r="N449" s="362" t="s">
        <v>1019</v>
      </c>
      <c r="O449" s="363"/>
      <c r="P449" s="363"/>
      <c r="Q449" s="363"/>
      <c r="R449" s="363"/>
      <c r="S449" s="338"/>
      <c r="T449" s="338"/>
      <c r="U449" s="338"/>
      <c r="V449" s="339"/>
      <c r="W449" s="339"/>
      <c r="X449" s="339"/>
      <c r="Y449" s="339"/>
      <c r="Z449" s="339"/>
      <c r="AA449" s="339"/>
      <c r="AB449" s="340"/>
    </row>
    <row r="453" spans="8:28" ht="14.25" customHeight="1" x14ac:dyDescent="0.2">
      <c r="S453" s="137" t="s">
        <v>916</v>
      </c>
    </row>
    <row r="455" spans="8:28" ht="14.25" customHeight="1" x14ac:dyDescent="0.2">
      <c r="N455" s="346"/>
    </row>
    <row r="457" spans="8:28" ht="14.25" customHeight="1" x14ac:dyDescent="0.2">
      <c r="M457" s="346"/>
    </row>
    <row r="702" spans="13:44" ht="14.25" customHeight="1" x14ac:dyDescent="0.2">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A1:J1"/>
    <mergeCell ref="U4:U5"/>
    <mergeCell ref="G7:Y7"/>
    <mergeCell ref="H9:H24"/>
    <mergeCell ref="J9:L9"/>
    <mergeCell ref="M9:R9"/>
    <mergeCell ref="J11:R11"/>
    <mergeCell ref="J12:R12"/>
    <mergeCell ref="J13:R13"/>
    <mergeCell ref="J14:R14"/>
    <mergeCell ref="J15:R15"/>
    <mergeCell ref="J16:R18"/>
    <mergeCell ref="J19:R19"/>
    <mergeCell ref="M20:R24"/>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H314:H343"/>
    <mergeCell ref="J314:J343"/>
    <mergeCell ref="H347:H376"/>
    <mergeCell ref="J347:J376"/>
    <mergeCell ref="H379:H391"/>
    <mergeCell ref="J379:J391"/>
    <mergeCell ref="J415:J417"/>
    <mergeCell ref="G433:U433"/>
    <mergeCell ref="H435:M435"/>
    <mergeCell ref="N435:R435"/>
    <mergeCell ref="H436:M436"/>
    <mergeCell ref="N436:R43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H444:M444"/>
    <mergeCell ref="N444:R444"/>
    <mergeCell ref="H445:M445"/>
    <mergeCell ref="N445:R445"/>
    <mergeCell ref="H446:M446"/>
    <mergeCell ref="N446:R446"/>
    <mergeCell ref="H447:M447"/>
    <mergeCell ref="N447:R447"/>
    <mergeCell ref="H448:M448"/>
    <mergeCell ref="N448:R448"/>
    <mergeCell ref="H449:M449"/>
    <mergeCell ref="N449:R449"/>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bestFit="1" customWidth="1"/>
    <col min="10" max="10" width="16.42578125" style="137" customWidth="1"/>
    <col min="11" max="11" width="55" style="137" bestFit="1" customWidth="1"/>
    <col min="12" max="12" width="22.42578125" style="137" customWidth="1"/>
    <col min="13" max="16" width="11.42578125" style="137" customWidth="1"/>
    <col min="17" max="17" width="12.42578125" style="137" customWidth="1"/>
    <col min="18" max="18" width="13.42578125" style="137" customWidth="1"/>
    <col min="19" max="19" width="14" style="137" customWidth="1"/>
    <col min="20" max="24" width="11.42578125" style="137" customWidth="1"/>
    <col min="25" max="25" width="9.42578125" style="137" bestFit="1" customWidth="1"/>
    <col min="26" max="45" width="11.42578125" style="137" customWidth="1"/>
    <col min="46" max="16384" width="9.42578125" style="137"/>
  </cols>
  <sheetData>
    <row r="1" spans="1:110" ht="18" x14ac:dyDescent="0.25">
      <c r="A1" s="135" t="s">
        <v>865</v>
      </c>
      <c r="B1" s="135"/>
      <c r="C1" s="135"/>
      <c r="D1" s="135"/>
      <c r="E1" s="135"/>
      <c r="F1" s="135"/>
      <c r="G1" s="135"/>
      <c r="H1" s="135"/>
      <c r="I1" s="136"/>
      <c r="M1" s="138" t="s">
        <v>888</v>
      </c>
    </row>
    <row r="2" spans="1:110"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25">
      <c r="A3"/>
      <c r="B3"/>
      <c r="C3"/>
      <c r="D3"/>
      <c r="E3"/>
      <c r="U3" s="141" t="s">
        <v>890</v>
      </c>
    </row>
    <row r="4" spans="1:110" ht="14.25" customHeight="1" x14ac:dyDescent="0.2">
      <c r="J4" s="142"/>
      <c r="U4" s="405" t="s">
        <v>891</v>
      </c>
    </row>
    <row r="5" spans="1:110" ht="14.25" customHeight="1" x14ac:dyDescent="0.2">
      <c r="U5" s="406"/>
    </row>
    <row r="7" spans="1:110" ht="14.25" customHeight="1" x14ac:dyDescent="0.25">
      <c r="B7" s="143" t="s">
        <v>892</v>
      </c>
      <c r="G7" s="380" t="s">
        <v>893</v>
      </c>
      <c r="H7" s="467"/>
      <c r="I7" s="467"/>
      <c r="J7" s="467"/>
      <c r="K7" s="467"/>
      <c r="L7" s="467"/>
      <c r="M7" s="467"/>
      <c r="N7" s="467"/>
      <c r="O7" s="467"/>
      <c r="P7" s="467"/>
      <c r="Q7" s="467"/>
      <c r="R7" s="467"/>
      <c r="S7" s="467"/>
      <c r="T7" s="467"/>
      <c r="U7" s="467"/>
      <c r="V7" s="467"/>
      <c r="W7" s="467"/>
      <c r="X7" s="468"/>
    </row>
    <row r="8" spans="1:110" ht="14.25" customHeight="1" thickBot="1" x14ac:dyDescent="0.25">
      <c r="G8" s="145"/>
      <c r="X8" s="146"/>
    </row>
    <row r="9" spans="1:110" ht="14.25" customHeight="1" thickBot="1" x14ac:dyDescent="0.25">
      <c r="G9" s="145"/>
      <c r="H9" s="469" t="s">
        <v>894</v>
      </c>
      <c r="J9" s="410" t="s">
        <v>895</v>
      </c>
      <c r="K9" s="411"/>
      <c r="L9" s="412"/>
      <c r="M9" s="471">
        <v>2021</v>
      </c>
      <c r="N9" s="472"/>
      <c r="O9" s="472"/>
      <c r="P9" s="473"/>
      <c r="R9" s="147"/>
      <c r="X9" s="146"/>
    </row>
    <row r="10" spans="1:110" ht="14.25" customHeight="1" thickBot="1" x14ac:dyDescent="0.3">
      <c r="G10" s="145"/>
      <c r="H10" s="470"/>
      <c r="J10" s="148" t="s">
        <v>896</v>
      </c>
      <c r="P10" s="146"/>
      <c r="R10"/>
      <c r="S10"/>
      <c r="T10"/>
      <c r="U10"/>
      <c r="V10"/>
      <c r="X10" s="146"/>
      <c r="AB10"/>
      <c r="AC10"/>
    </row>
    <row r="11" spans="1:110" ht="14.25" customHeight="1" x14ac:dyDescent="0.25">
      <c r="G11" s="145"/>
      <c r="H11" s="470"/>
      <c r="J11" s="149" t="s">
        <v>897</v>
      </c>
      <c r="K11" s="150"/>
      <c r="L11" s="150"/>
      <c r="M11" s="150"/>
      <c r="N11" s="150"/>
      <c r="P11"/>
      <c r="Q11"/>
      <c r="R11"/>
      <c r="S11"/>
      <c r="T11"/>
      <c r="X11" s="146"/>
    </row>
    <row r="12" spans="1:110" ht="13.5" customHeight="1" thickBot="1" x14ac:dyDescent="0.25">
      <c r="G12" s="145"/>
      <c r="H12" s="470"/>
      <c r="X12" s="146"/>
    </row>
    <row r="13" spans="1:110" ht="45.75" customHeight="1" thickBot="1" x14ac:dyDescent="0.25">
      <c r="G13" s="145"/>
      <c r="H13" s="470"/>
      <c r="J13" s="387" t="s">
        <v>898</v>
      </c>
      <c r="K13" s="152" t="s">
        <v>899</v>
      </c>
      <c r="L13" s="152" t="s">
        <v>900</v>
      </c>
      <c r="M13" s="152" t="s">
        <v>901</v>
      </c>
      <c r="N13" s="152" t="s">
        <v>902</v>
      </c>
      <c r="O13" s="152" t="s">
        <v>903</v>
      </c>
      <c r="P13" s="152" t="s">
        <v>904</v>
      </c>
      <c r="Q13" s="152" t="s">
        <v>905</v>
      </c>
      <c r="R13" s="152" t="s">
        <v>906</v>
      </c>
      <c r="X13" s="146"/>
    </row>
    <row r="14" spans="1:110" ht="14.25" customHeight="1" x14ac:dyDescent="0.2">
      <c r="G14" s="145"/>
      <c r="H14" s="470"/>
      <c r="J14" s="387"/>
      <c r="K14" s="153" t="s">
        <v>907</v>
      </c>
      <c r="L14" s="153" t="s">
        <v>908</v>
      </c>
      <c r="M14" s="153" t="s">
        <v>909</v>
      </c>
      <c r="N14" s="153" t="s">
        <v>910</v>
      </c>
      <c r="O14" s="153" t="s">
        <v>911</v>
      </c>
      <c r="P14" s="153" t="s">
        <v>909</v>
      </c>
      <c r="Q14" s="153" t="s">
        <v>912</v>
      </c>
      <c r="R14" s="154">
        <v>9.5</v>
      </c>
      <c r="S14" s="155"/>
      <c r="X14" s="146"/>
    </row>
    <row r="15" spans="1:110" ht="14.25" customHeight="1" x14ac:dyDescent="0.2">
      <c r="G15" s="145"/>
      <c r="H15" s="470"/>
      <c r="J15" s="387"/>
      <c r="K15" s="156" t="s">
        <v>913</v>
      </c>
      <c r="L15" s="156" t="s">
        <v>908</v>
      </c>
      <c r="M15" s="156" t="s">
        <v>914</v>
      </c>
      <c r="N15" s="156" t="s">
        <v>910</v>
      </c>
      <c r="O15" s="156" t="s">
        <v>911</v>
      </c>
      <c r="P15" s="156" t="s">
        <v>914</v>
      </c>
      <c r="Q15" s="156" t="s">
        <v>915</v>
      </c>
      <c r="R15" s="157">
        <v>8.9</v>
      </c>
      <c r="X15" s="146"/>
      <c r="AA15" s="137" t="s">
        <v>916</v>
      </c>
    </row>
    <row r="16" spans="1:110" ht="14.25" customHeight="1" x14ac:dyDescent="0.2">
      <c r="G16" s="145"/>
      <c r="H16" s="470"/>
      <c r="J16" s="387"/>
      <c r="K16" s="158" t="s">
        <v>917</v>
      </c>
      <c r="L16" s="158" t="s">
        <v>908</v>
      </c>
      <c r="M16" s="158" t="s">
        <v>918</v>
      </c>
      <c r="N16" s="158" t="s">
        <v>910</v>
      </c>
      <c r="O16" s="158" t="s">
        <v>911</v>
      </c>
      <c r="P16" s="158" t="s">
        <v>918</v>
      </c>
      <c r="Q16" s="158" t="s">
        <v>919</v>
      </c>
      <c r="R16" s="159">
        <v>8.6999999999999993</v>
      </c>
      <c r="X16" s="146"/>
    </row>
    <row r="17" spans="7:29" ht="14.25" customHeight="1" x14ac:dyDescent="0.2">
      <c r="G17" s="145"/>
      <c r="H17" s="470"/>
      <c r="J17" s="387"/>
      <c r="K17" s="156" t="s">
        <v>920</v>
      </c>
      <c r="L17" s="156" t="s">
        <v>908</v>
      </c>
      <c r="M17" s="156" t="s">
        <v>921</v>
      </c>
      <c r="N17" s="156" t="s">
        <v>910</v>
      </c>
      <c r="O17" s="156" t="s">
        <v>911</v>
      </c>
      <c r="P17" s="156" t="s">
        <v>921</v>
      </c>
      <c r="Q17" s="156" t="s">
        <v>922</v>
      </c>
      <c r="R17" s="157">
        <v>8.5</v>
      </c>
      <c r="X17" s="146"/>
    </row>
    <row r="18" spans="7:29" ht="14.25" customHeight="1" x14ac:dyDescent="0.2">
      <c r="G18" s="145"/>
      <c r="H18" s="470"/>
      <c r="J18" s="387"/>
      <c r="K18" s="158" t="s">
        <v>923</v>
      </c>
      <c r="L18" s="158" t="s">
        <v>908</v>
      </c>
      <c r="M18" s="158" t="s">
        <v>924</v>
      </c>
      <c r="N18" s="158" t="s">
        <v>910</v>
      </c>
      <c r="O18" s="158" t="s">
        <v>911</v>
      </c>
      <c r="P18" s="158" t="s">
        <v>924</v>
      </c>
      <c r="Q18" s="158" t="s">
        <v>925</v>
      </c>
      <c r="R18" s="159">
        <v>8.1999999999999993</v>
      </c>
    </row>
    <row r="19" spans="7:29" ht="14.25" customHeight="1" x14ac:dyDescent="0.2">
      <c r="G19" s="145"/>
      <c r="H19" s="470"/>
      <c r="J19" s="387"/>
      <c r="K19" s="160" t="s">
        <v>926</v>
      </c>
      <c r="L19" s="160" t="s">
        <v>908</v>
      </c>
      <c r="M19" s="160" t="s">
        <v>927</v>
      </c>
      <c r="N19" s="160" t="s">
        <v>910</v>
      </c>
      <c r="O19" s="160" t="s">
        <v>911</v>
      </c>
      <c r="P19" s="160" t="s">
        <v>927</v>
      </c>
      <c r="Q19" s="160" t="s">
        <v>928</v>
      </c>
      <c r="R19" s="161">
        <v>7.8</v>
      </c>
    </row>
    <row r="20" spans="7:29" ht="14.25" customHeight="1" x14ac:dyDescent="0.2">
      <c r="G20" s="145"/>
      <c r="H20" s="470"/>
      <c r="J20" s="387"/>
      <c r="K20" s="158" t="s">
        <v>929</v>
      </c>
      <c r="L20" s="158" t="s">
        <v>908</v>
      </c>
      <c r="M20" s="158" t="s">
        <v>930</v>
      </c>
      <c r="N20" s="158" t="s">
        <v>910</v>
      </c>
      <c r="O20" s="158" t="s">
        <v>911</v>
      </c>
      <c r="P20" s="158" t="s">
        <v>930</v>
      </c>
      <c r="Q20" s="158" t="s">
        <v>931</v>
      </c>
      <c r="R20" s="159">
        <v>7.4</v>
      </c>
    </row>
    <row r="21" spans="7:29" ht="14.25" customHeight="1" x14ac:dyDescent="0.2">
      <c r="G21" s="145"/>
      <c r="H21" s="470"/>
      <c r="J21" s="387"/>
      <c r="K21" s="156" t="s">
        <v>932</v>
      </c>
      <c r="L21" s="156" t="s">
        <v>933</v>
      </c>
      <c r="M21" s="156" t="s">
        <v>934</v>
      </c>
      <c r="N21" s="156" t="s">
        <v>910</v>
      </c>
      <c r="O21" s="156" t="s">
        <v>911</v>
      </c>
      <c r="P21" s="156" t="s">
        <v>934</v>
      </c>
      <c r="Q21" s="156" t="s">
        <v>935</v>
      </c>
      <c r="R21" s="157">
        <v>6.8</v>
      </c>
    </row>
    <row r="22" spans="7:29" ht="14.25" customHeight="1" x14ac:dyDescent="0.2">
      <c r="G22" s="145"/>
      <c r="H22" s="470"/>
      <c r="J22" s="387"/>
      <c r="K22" s="158" t="s">
        <v>936</v>
      </c>
      <c r="L22" s="158" t="s">
        <v>937</v>
      </c>
      <c r="M22" s="158" t="s">
        <v>938</v>
      </c>
      <c r="N22" s="158" t="s">
        <v>910</v>
      </c>
      <c r="O22" s="158" t="s">
        <v>911</v>
      </c>
      <c r="P22" s="158" t="s">
        <v>938</v>
      </c>
      <c r="Q22" s="158" t="s">
        <v>939</v>
      </c>
      <c r="R22" s="159">
        <v>6.2</v>
      </c>
    </row>
    <row r="23" spans="7:29" ht="14.25" customHeight="1" thickBot="1" x14ac:dyDescent="0.25">
      <c r="G23" s="145"/>
      <c r="H23" s="470"/>
      <c r="J23" s="387"/>
      <c r="K23" s="162" t="s">
        <v>940</v>
      </c>
      <c r="L23" s="162" t="s">
        <v>941</v>
      </c>
      <c r="M23" s="162" t="s">
        <v>942</v>
      </c>
      <c r="N23" s="162" t="s">
        <v>910</v>
      </c>
      <c r="O23" s="162" t="s">
        <v>911</v>
      </c>
      <c r="P23" s="162" t="s">
        <v>942</v>
      </c>
      <c r="Q23" s="162" t="s">
        <v>943</v>
      </c>
      <c r="R23" s="163">
        <v>5.2</v>
      </c>
    </row>
    <row r="24" spans="7:29" ht="14.25" customHeight="1" x14ac:dyDescent="0.2">
      <c r="G24" s="145"/>
      <c r="H24" s="470"/>
      <c r="J24" s="387"/>
    </row>
    <row r="25" spans="7:29" ht="14.25" customHeight="1" x14ac:dyDescent="0.2">
      <c r="G25" s="145"/>
      <c r="H25" s="470"/>
      <c r="J25" s="387"/>
      <c r="P25" s="137" t="s">
        <v>944</v>
      </c>
      <c r="U25" s="146"/>
    </row>
    <row r="26" spans="7:29" ht="14.25" customHeight="1" x14ac:dyDescent="0.2">
      <c r="G26" s="145"/>
    </row>
    <row r="27" spans="7:29" ht="14.25" customHeight="1" thickBot="1" x14ac:dyDescent="0.25">
      <c r="G27" s="145"/>
      <c r="Q27" s="137" t="s">
        <v>945</v>
      </c>
      <c r="S27" s="164" t="s">
        <v>1064</v>
      </c>
    </row>
    <row r="28" spans="7:29" ht="14.25" customHeight="1" x14ac:dyDescent="0.2">
      <c r="G28" s="145"/>
      <c r="H28" s="459" t="s">
        <v>946</v>
      </c>
      <c r="J28" s="393" t="s">
        <v>947</v>
      </c>
      <c r="K28" s="394"/>
      <c r="L28" s="394"/>
      <c r="M28" s="394"/>
      <c r="N28" s="394"/>
      <c r="O28" s="395"/>
      <c r="Q28" s="137" t="s">
        <v>948</v>
      </c>
      <c r="S28" s="165">
        <v>20</v>
      </c>
    </row>
    <row r="29" spans="7:29" ht="14.25" customHeight="1" thickBot="1" x14ac:dyDescent="0.25">
      <c r="G29" s="145"/>
      <c r="H29" s="460"/>
      <c r="J29" s="166" t="s">
        <v>949</v>
      </c>
      <c r="K29" s="167"/>
      <c r="L29" s="167"/>
      <c r="M29" s="167"/>
      <c r="N29" s="167"/>
      <c r="O29" s="168">
        <v>20</v>
      </c>
      <c r="Z29" s="169"/>
      <c r="AA29" s="169"/>
      <c r="AB29" s="169"/>
      <c r="AC29" s="169"/>
    </row>
    <row r="30" spans="7:29" ht="14.25" customHeight="1" x14ac:dyDescent="0.2">
      <c r="G30" s="145"/>
      <c r="H30" s="460"/>
      <c r="J30" s="170" t="s">
        <v>950</v>
      </c>
      <c r="K30" s="171"/>
      <c r="L30" s="171"/>
      <c r="M30" s="171"/>
      <c r="N30" s="171"/>
      <c r="O30" s="172">
        <v>5</v>
      </c>
    </row>
    <row r="31" spans="7:29" ht="14.25" customHeight="1" thickBot="1" x14ac:dyDescent="0.25">
      <c r="G31" s="145"/>
      <c r="H31" s="460"/>
      <c r="J31" s="461" t="s">
        <v>951</v>
      </c>
      <c r="K31" s="462"/>
      <c r="L31" s="462"/>
      <c r="M31" s="462"/>
      <c r="N31" s="462"/>
      <c r="O31" s="173">
        <v>0.02</v>
      </c>
    </row>
    <row r="32" spans="7:29" ht="14.25" customHeight="1" x14ac:dyDescent="0.2">
      <c r="G32" s="145"/>
      <c r="H32" s="460"/>
      <c r="J32" s="174" t="s">
        <v>952</v>
      </c>
      <c r="K32" s="175"/>
      <c r="L32" s="175"/>
      <c r="N32" s="176"/>
      <c r="O32" s="177">
        <v>3</v>
      </c>
    </row>
    <row r="33" spans="7:42" ht="26.25" customHeight="1" x14ac:dyDescent="0.2">
      <c r="G33" s="145"/>
      <c r="H33" s="460"/>
      <c r="J33" s="178" t="s">
        <v>172</v>
      </c>
      <c r="K33" s="179" t="s">
        <v>953</v>
      </c>
      <c r="L33" s="463" t="s">
        <v>954</v>
      </c>
      <c r="M33" s="465" t="s">
        <v>955</v>
      </c>
    </row>
    <row r="34" spans="7:42" ht="26.25" customHeight="1" x14ac:dyDescent="0.2">
      <c r="G34" s="145"/>
      <c r="H34" s="460"/>
      <c r="J34" s="180" t="s">
        <v>956</v>
      </c>
      <c r="K34" s="181" t="s">
        <v>957</v>
      </c>
      <c r="L34" s="464"/>
      <c r="M34" s="466"/>
    </row>
    <row r="35" spans="7:42" ht="14.25" customHeight="1" x14ac:dyDescent="0.2">
      <c r="G35" s="145"/>
      <c r="H35" s="460"/>
      <c r="J35" s="182">
        <v>0</v>
      </c>
      <c r="K35" s="183">
        <v>0.8</v>
      </c>
      <c r="L35" s="183">
        <v>0.8</v>
      </c>
      <c r="M35" s="184">
        <v>0.19999999999999996</v>
      </c>
    </row>
    <row r="36" spans="7:42" ht="14.25" customHeight="1" x14ac:dyDescent="0.2">
      <c r="G36" s="145"/>
      <c r="H36" s="460"/>
      <c r="J36" s="185">
        <v>1</v>
      </c>
      <c r="K36" s="186">
        <v>0.1</v>
      </c>
      <c r="L36" s="186">
        <v>0.8</v>
      </c>
      <c r="M36" s="184">
        <v>0.19999999999999996</v>
      </c>
      <c r="O36" s="187"/>
    </row>
    <row r="37" spans="7:42" ht="14.25" customHeight="1" thickBot="1" x14ac:dyDescent="0.25">
      <c r="G37" s="145"/>
      <c r="H37" s="460"/>
      <c r="J37" s="188">
        <v>2</v>
      </c>
      <c r="K37" s="189">
        <v>0.1</v>
      </c>
      <c r="L37" s="189">
        <v>0.8</v>
      </c>
      <c r="M37" s="190">
        <v>0.19999999999999996</v>
      </c>
    </row>
    <row r="38" spans="7:42" ht="14.25" customHeight="1" x14ac:dyDescent="0.2">
      <c r="G38" s="145"/>
      <c r="H38" s="460"/>
      <c r="M38" s="191"/>
    </row>
    <row r="39" spans="7:42" ht="14.25" customHeight="1" x14ac:dyDescent="0.25">
      <c r="H39" s="460"/>
      <c r="P39"/>
      <c r="Q39"/>
      <c r="R39"/>
      <c r="S39"/>
      <c r="T39"/>
    </row>
    <row r="40" spans="7:42" ht="14.25" customHeight="1" x14ac:dyDescent="0.2">
      <c r="H40" s="460"/>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2">
      <c r="H41" s="460"/>
      <c r="J41" s="387" t="s">
        <v>958</v>
      </c>
      <c r="K41" s="192" t="s">
        <v>959</v>
      </c>
      <c r="L41" s="192" t="s">
        <v>960</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2">
      <c r="H42" s="460"/>
      <c r="J42" s="387"/>
      <c r="K42" s="192" t="s">
        <v>961</v>
      </c>
      <c r="L42" s="192" t="s">
        <v>962</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2">
      <c r="H43" s="460"/>
      <c r="J43" s="387"/>
      <c r="K43" s="192" t="s">
        <v>961</v>
      </c>
      <c r="L43" s="192" t="s">
        <v>963</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2">
      <c r="H44" s="460"/>
      <c r="J44" s="387"/>
      <c r="K44" s="192" t="s">
        <v>961</v>
      </c>
      <c r="L44" s="192" t="s">
        <v>964</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25">
      <c r="H45" s="460"/>
      <c r="J45" s="387"/>
      <c r="K45" s="192" t="s">
        <v>965</v>
      </c>
      <c r="L45" s="192" t="s">
        <v>962</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25">
      <c r="H46" s="460"/>
      <c r="J46" s="387"/>
      <c r="K46" s="192" t="s">
        <v>965</v>
      </c>
      <c r="L46" s="192" t="s">
        <v>963</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25">
      <c r="H47" s="460"/>
      <c r="J47" s="387"/>
      <c r="K47" s="192" t="s">
        <v>965</v>
      </c>
      <c r="L47" s="192" t="s">
        <v>964</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2">
      <c r="H48" s="460"/>
      <c r="J48" s="387"/>
      <c r="K48" s="192" t="s">
        <v>966</v>
      </c>
      <c r="L48" s="192" t="s">
        <v>960</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2">
      <c r="H49" s="460"/>
      <c r="J49" s="387"/>
      <c r="K49" s="192" t="s">
        <v>967</v>
      </c>
      <c r="L49" s="192" t="s">
        <v>962</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2">
      <c r="H50" s="460"/>
      <c r="J50" s="387"/>
      <c r="K50" s="192" t="s">
        <v>967</v>
      </c>
      <c r="L50" s="192" t="s">
        <v>963</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2">
      <c r="H51" s="460"/>
      <c r="J51" s="387"/>
      <c r="K51" s="192" t="s">
        <v>967</v>
      </c>
      <c r="L51" s="192" t="s">
        <v>964</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25">
      <c r="H52" s="460"/>
      <c r="J52" s="387"/>
      <c r="K52" s="192" t="s">
        <v>968</v>
      </c>
      <c r="L52" s="192" t="s">
        <v>962</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25">
      <c r="H53" s="460"/>
      <c r="J53" s="387"/>
      <c r="K53" s="192" t="s">
        <v>968</v>
      </c>
      <c r="L53" s="192" t="s">
        <v>963</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25">
      <c r="H54" s="460"/>
      <c r="J54" s="387"/>
      <c r="K54" s="192" t="s">
        <v>968</v>
      </c>
      <c r="L54" s="192" t="s">
        <v>964</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2">
      <c r="H55" s="460"/>
      <c r="J55" s="387"/>
      <c r="K55" s="192" t="s">
        <v>969</v>
      </c>
      <c r="L55" s="192" t="s">
        <v>962</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2">
      <c r="H56" s="460"/>
      <c r="J56" s="387"/>
      <c r="K56" s="192" t="s">
        <v>969</v>
      </c>
      <c r="L56" s="192" t="s">
        <v>963</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2">
      <c r="H57" s="460"/>
      <c r="J57" s="387"/>
      <c r="K57" s="192" t="s">
        <v>969</v>
      </c>
      <c r="L57" s="192" t="s">
        <v>964</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2">
      <c r="H58" s="460"/>
      <c r="J58" s="387"/>
      <c r="K58" s="192" t="s">
        <v>970</v>
      </c>
      <c r="L58" s="192" t="s">
        <v>960</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2">
      <c r="H59" s="460"/>
      <c r="J59" s="387"/>
      <c r="K59" s="192" t="s">
        <v>971</v>
      </c>
      <c r="L59" s="192" t="s">
        <v>962</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2">
      <c r="H60" s="460"/>
      <c r="J60" s="387"/>
      <c r="K60" s="192" t="s">
        <v>971</v>
      </c>
      <c r="L60" s="192" t="s">
        <v>963</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2">
      <c r="H61" s="460"/>
      <c r="J61" s="387"/>
      <c r="K61" s="192" t="s">
        <v>971</v>
      </c>
      <c r="L61" s="192" t="s">
        <v>964</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25">
      <c r="H62" s="460"/>
      <c r="J62" s="387"/>
      <c r="K62" s="192" t="s">
        <v>972</v>
      </c>
      <c r="L62" s="192" t="s">
        <v>962</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25">
      <c r="H63" s="460"/>
      <c r="J63" s="387"/>
      <c r="K63" s="192" t="s">
        <v>972</v>
      </c>
      <c r="L63" s="192" t="s">
        <v>963</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25">
      <c r="H64" s="460"/>
      <c r="J64" s="387"/>
      <c r="K64" s="192" t="s">
        <v>972</v>
      </c>
      <c r="L64" s="192" t="s">
        <v>964</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2">
      <c r="H65" s="460"/>
      <c r="J65" s="387"/>
      <c r="K65" s="196" t="s">
        <v>973</v>
      </c>
      <c r="L65" s="192" t="s">
        <v>962</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2">
      <c r="H66" s="460"/>
      <c r="J66" s="387"/>
      <c r="K66" s="196" t="s">
        <v>973</v>
      </c>
      <c r="L66" s="192" t="s">
        <v>963</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2">
      <c r="H67" s="460"/>
      <c r="J67" s="387"/>
      <c r="K67" s="196" t="s">
        <v>973</v>
      </c>
      <c r="L67" s="192" t="s">
        <v>964</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2">
      <c r="H68" s="460"/>
      <c r="J68" s="387"/>
      <c r="K68" s="196" t="s">
        <v>974</v>
      </c>
      <c r="L68" s="192" t="s">
        <v>962</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2">
      <c r="H69" s="460"/>
      <c r="J69" s="151"/>
      <c r="K69" s="196" t="s">
        <v>974</v>
      </c>
      <c r="L69" s="192" t="s">
        <v>963</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2">
      <c r="H70" s="460"/>
      <c r="J70" s="151"/>
      <c r="K70" s="196" t="s">
        <v>974</v>
      </c>
      <c r="L70" s="192" t="s">
        <v>964</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2">
      <c r="X71" s="197"/>
    </row>
    <row r="72" spans="4:44" ht="14.25" customHeight="1" x14ac:dyDescent="0.2">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2">
      <c r="D73" s="143" t="s">
        <v>892</v>
      </c>
      <c r="G73" s="380" t="s">
        <v>975</v>
      </c>
      <c r="H73" s="380"/>
      <c r="I73" s="380"/>
      <c r="J73" s="380"/>
      <c r="K73" s="380"/>
      <c r="L73" s="380"/>
      <c r="M73" s="380"/>
      <c r="N73" s="380"/>
      <c r="O73" s="380"/>
      <c r="P73" s="380"/>
      <c r="Q73" s="380"/>
      <c r="R73" s="380"/>
      <c r="S73" s="380"/>
      <c r="T73" s="380"/>
      <c r="U73" s="380"/>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2">
      <c r="G74" s="145"/>
      <c r="M74" s="137" t="s">
        <v>976</v>
      </c>
    </row>
    <row r="75" spans="4:44" ht="14.25" customHeight="1" thickBot="1" x14ac:dyDescent="0.2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2">
      <c r="G76" s="145"/>
      <c r="H76" s="390" t="s">
        <v>977</v>
      </c>
      <c r="J76" s="350" t="s">
        <v>978</v>
      </c>
      <c r="K76" s="201" t="s">
        <v>907</v>
      </c>
      <c r="L76" s="201" t="s">
        <v>962</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2">
      <c r="G77" s="145"/>
      <c r="H77" s="390"/>
      <c r="J77" s="351"/>
      <c r="K77" s="142" t="s">
        <v>907</v>
      </c>
      <c r="L77" s="192" t="s">
        <v>963</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25">
      <c r="G78" s="145"/>
      <c r="H78" s="390"/>
      <c r="J78" s="351"/>
      <c r="K78" s="203" t="s">
        <v>907</v>
      </c>
      <c r="L78" s="203" t="s">
        <v>964</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2">
      <c r="G79" s="145"/>
      <c r="H79" s="390"/>
      <c r="J79" s="351"/>
      <c r="K79" s="201" t="s">
        <v>913</v>
      </c>
      <c r="L79" s="201" t="s">
        <v>962</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2">
      <c r="G80" s="145"/>
      <c r="H80" s="390"/>
      <c r="J80" s="351"/>
      <c r="K80" s="142" t="s">
        <v>913</v>
      </c>
      <c r="L80" s="192" t="s">
        <v>963</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25">
      <c r="G81" s="145"/>
      <c r="H81" s="390"/>
      <c r="J81" s="351"/>
      <c r="K81" s="203" t="s">
        <v>913</v>
      </c>
      <c r="L81" s="203" t="s">
        <v>964</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2">
      <c r="G82" s="145"/>
      <c r="H82" s="390"/>
      <c r="J82" s="351"/>
      <c r="K82" s="201" t="s">
        <v>917</v>
      </c>
      <c r="L82" s="201" t="s">
        <v>962</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2">
      <c r="G83" s="145"/>
      <c r="H83" s="390"/>
      <c r="J83" s="351"/>
      <c r="K83" s="142" t="s">
        <v>917</v>
      </c>
      <c r="L83" s="192" t="s">
        <v>963</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25">
      <c r="G84" s="145"/>
      <c r="H84" s="390"/>
      <c r="J84" s="351"/>
      <c r="K84" s="203" t="s">
        <v>917</v>
      </c>
      <c r="L84" s="203" t="s">
        <v>964</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2">
      <c r="G85" s="145"/>
      <c r="H85" s="390"/>
      <c r="J85" s="351"/>
      <c r="K85" s="201" t="s">
        <v>920</v>
      </c>
      <c r="L85" s="201" t="s">
        <v>962</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2">
      <c r="G86" s="145"/>
      <c r="H86" s="390"/>
      <c r="J86" s="351"/>
      <c r="K86" s="142" t="s">
        <v>920</v>
      </c>
      <c r="L86" s="192" t="s">
        <v>963</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25">
      <c r="G87" s="145"/>
      <c r="H87" s="390"/>
      <c r="J87" s="351"/>
      <c r="K87" s="203" t="s">
        <v>920</v>
      </c>
      <c r="L87" s="203" t="s">
        <v>964</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2">
      <c r="G88" s="145"/>
      <c r="H88" s="390"/>
      <c r="J88" s="351"/>
      <c r="K88" s="201" t="s">
        <v>923</v>
      </c>
      <c r="L88" s="201" t="s">
        <v>962</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2">
      <c r="G89" s="145"/>
      <c r="H89" s="390"/>
      <c r="J89" s="351"/>
      <c r="K89" s="142" t="s">
        <v>923</v>
      </c>
      <c r="L89" s="192" t="s">
        <v>963</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25">
      <c r="G90" s="145"/>
      <c r="H90" s="390"/>
      <c r="J90" s="351"/>
      <c r="K90" s="203" t="s">
        <v>923</v>
      </c>
      <c r="L90" s="203" t="s">
        <v>964</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2">
      <c r="G91" s="145"/>
      <c r="H91" s="390"/>
      <c r="J91" s="351"/>
      <c r="K91" s="201" t="s">
        <v>926</v>
      </c>
      <c r="L91" s="201" t="s">
        <v>962</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2">
      <c r="G92" s="145"/>
      <c r="H92" s="390"/>
      <c r="J92" s="351"/>
      <c r="K92" s="142" t="s">
        <v>926</v>
      </c>
      <c r="L92" s="192" t="s">
        <v>963</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25">
      <c r="G93" s="145"/>
      <c r="H93" s="390"/>
      <c r="J93" s="351"/>
      <c r="K93" s="203" t="s">
        <v>926</v>
      </c>
      <c r="L93" s="203" t="s">
        <v>964</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2">
      <c r="G94" s="145"/>
      <c r="H94" s="390"/>
      <c r="J94" s="351"/>
      <c r="K94" s="201" t="s">
        <v>929</v>
      </c>
      <c r="L94" s="201" t="s">
        <v>962</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2">
      <c r="G95" s="145"/>
      <c r="H95" s="390"/>
      <c r="J95" s="351"/>
      <c r="K95" s="142" t="s">
        <v>929</v>
      </c>
      <c r="L95" s="192" t="s">
        <v>963</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25">
      <c r="G96" s="145"/>
      <c r="H96" s="390"/>
      <c r="J96" s="351"/>
      <c r="K96" s="203" t="s">
        <v>929</v>
      </c>
      <c r="L96" s="203" t="s">
        <v>964</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2">
      <c r="G97" s="145"/>
      <c r="H97" s="390"/>
      <c r="J97" s="351"/>
      <c r="K97" s="201" t="s">
        <v>932</v>
      </c>
      <c r="L97" s="201" t="s">
        <v>962</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2">
      <c r="G98" s="145"/>
      <c r="H98" s="390"/>
      <c r="J98" s="351"/>
      <c r="K98" s="142" t="s">
        <v>932</v>
      </c>
      <c r="L98" s="192" t="s">
        <v>963</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25">
      <c r="G99" s="145"/>
      <c r="H99" s="390"/>
      <c r="J99" s="351"/>
      <c r="K99" s="203" t="s">
        <v>932</v>
      </c>
      <c r="L99" s="203" t="s">
        <v>964</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2">
      <c r="G100" s="145"/>
      <c r="H100" s="390"/>
      <c r="J100" s="351"/>
      <c r="K100" s="201" t="s">
        <v>936</v>
      </c>
      <c r="L100" s="201" t="s">
        <v>962</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25">
      <c r="G101" s="145"/>
      <c r="H101" s="390"/>
      <c r="J101" s="351"/>
      <c r="K101" s="142" t="s">
        <v>936</v>
      </c>
      <c r="L101" s="192" t="s">
        <v>963</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25">
      <c r="G102" s="145"/>
      <c r="H102" s="390"/>
      <c r="J102" s="351"/>
      <c r="K102" s="203" t="s">
        <v>936</v>
      </c>
      <c r="L102" s="203" t="s">
        <v>964</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2">
      <c r="G103" s="145"/>
      <c r="H103" s="390"/>
      <c r="J103" s="351"/>
      <c r="K103" s="201" t="s">
        <v>940</v>
      </c>
      <c r="L103" s="201" t="s">
        <v>962</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2">
      <c r="G104" s="145"/>
      <c r="H104" s="390"/>
      <c r="J104" s="351"/>
      <c r="K104" s="142" t="s">
        <v>940</v>
      </c>
      <c r="L104" s="192" t="s">
        <v>963</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2">
      <c r="G105" s="145"/>
      <c r="H105" s="390"/>
      <c r="J105" s="384"/>
      <c r="K105" s="203" t="s">
        <v>940</v>
      </c>
      <c r="L105" s="203" t="s">
        <v>964</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2">
      <c r="G106" s="145"/>
      <c r="H106" s="390"/>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2">
      <c r="G107" s="145"/>
      <c r="H107" s="390"/>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2">
      <c r="G108" s="145"/>
      <c r="H108" s="390"/>
      <c r="J108" s="350" t="s">
        <v>979</v>
      </c>
      <c r="K108" s="201" t="s">
        <v>907</v>
      </c>
      <c r="L108" s="201" t="s">
        <v>962</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2">
      <c r="G109" s="145"/>
      <c r="H109" s="390"/>
      <c r="J109" s="351"/>
      <c r="K109" s="142" t="s">
        <v>907</v>
      </c>
      <c r="L109" s="192" t="s">
        <v>963</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25">
      <c r="G110" s="145"/>
      <c r="H110" s="390"/>
      <c r="J110" s="351"/>
      <c r="K110" s="203" t="s">
        <v>907</v>
      </c>
      <c r="L110" s="203" t="s">
        <v>964</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2">
      <c r="G111" s="145"/>
      <c r="H111" s="390"/>
      <c r="J111" s="351"/>
      <c r="K111" s="201" t="s">
        <v>913</v>
      </c>
      <c r="L111" s="201" t="s">
        <v>962</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2">
      <c r="G112" s="145"/>
      <c r="H112" s="390"/>
      <c r="J112" s="351"/>
      <c r="K112" s="142" t="s">
        <v>913</v>
      </c>
      <c r="L112" s="192" t="s">
        <v>963</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25">
      <c r="G113" s="145"/>
      <c r="H113" s="390"/>
      <c r="J113" s="351"/>
      <c r="K113" s="203" t="s">
        <v>913</v>
      </c>
      <c r="L113" s="203" t="s">
        <v>964</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2">
      <c r="G114" s="145"/>
      <c r="H114" s="390"/>
      <c r="J114" s="351"/>
      <c r="K114" s="201" t="s">
        <v>917</v>
      </c>
      <c r="L114" s="201" t="s">
        <v>962</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2">
      <c r="G115" s="145"/>
      <c r="H115" s="390"/>
      <c r="J115" s="351"/>
      <c r="K115" s="142" t="s">
        <v>917</v>
      </c>
      <c r="L115" s="192" t="s">
        <v>963</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25">
      <c r="G116" s="145"/>
      <c r="H116" s="390"/>
      <c r="J116" s="351"/>
      <c r="K116" s="203" t="s">
        <v>917</v>
      </c>
      <c r="L116" s="203" t="s">
        <v>964</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2">
      <c r="G117" s="145"/>
      <c r="H117" s="390"/>
      <c r="J117" s="351"/>
      <c r="K117" s="201" t="s">
        <v>920</v>
      </c>
      <c r="L117" s="201" t="s">
        <v>962</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2">
      <c r="G118" s="145"/>
      <c r="H118" s="390"/>
      <c r="J118" s="351"/>
      <c r="K118" s="142" t="s">
        <v>920</v>
      </c>
      <c r="L118" s="192" t="s">
        <v>963</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25">
      <c r="G119" s="145"/>
      <c r="H119" s="390"/>
      <c r="J119" s="351"/>
      <c r="K119" s="203" t="s">
        <v>920</v>
      </c>
      <c r="L119" s="203" t="s">
        <v>964</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2">
      <c r="G120" s="145"/>
      <c r="H120" s="390"/>
      <c r="J120" s="351"/>
      <c r="K120" s="201" t="s">
        <v>923</v>
      </c>
      <c r="L120" s="201" t="s">
        <v>962</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2">
      <c r="G121" s="145"/>
      <c r="H121" s="390"/>
      <c r="J121" s="351"/>
      <c r="K121" s="142" t="s">
        <v>923</v>
      </c>
      <c r="L121" s="192" t="s">
        <v>963</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25">
      <c r="G122" s="145"/>
      <c r="H122" s="390"/>
      <c r="J122" s="351"/>
      <c r="K122" s="203" t="s">
        <v>923</v>
      </c>
      <c r="L122" s="203" t="s">
        <v>964</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2">
      <c r="G123" s="145"/>
      <c r="H123" s="390"/>
      <c r="J123" s="351"/>
      <c r="K123" s="201" t="s">
        <v>926</v>
      </c>
      <c r="L123" s="201" t="s">
        <v>962</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25">
      <c r="A124" s="137"/>
      <c r="B124" s="137"/>
      <c r="C124" s="137"/>
      <c r="D124" s="137"/>
      <c r="E124" s="137"/>
      <c r="F124" s="137"/>
      <c r="G124" s="145"/>
      <c r="H124" s="390"/>
      <c r="I124" s="137"/>
      <c r="J124" s="351"/>
      <c r="K124" s="142" t="s">
        <v>926</v>
      </c>
      <c r="L124" s="192" t="s">
        <v>963</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25">
      <c r="A125" s="137"/>
      <c r="B125" s="137"/>
      <c r="C125" s="137"/>
      <c r="D125" s="137"/>
      <c r="E125" s="137"/>
      <c r="F125" s="137"/>
      <c r="G125" s="145"/>
      <c r="H125" s="390"/>
      <c r="I125" s="137"/>
      <c r="J125" s="351"/>
      <c r="K125" s="203" t="s">
        <v>926</v>
      </c>
      <c r="L125" s="203" t="s">
        <v>964</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2">
      <c r="G126" s="145"/>
      <c r="H126" s="390"/>
      <c r="J126" s="351"/>
      <c r="K126" s="201" t="s">
        <v>929</v>
      </c>
      <c r="L126" s="201" t="s">
        <v>962</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2">
      <c r="G127" s="145"/>
      <c r="H127" s="390"/>
      <c r="J127" s="351"/>
      <c r="K127" s="142" t="s">
        <v>929</v>
      </c>
      <c r="L127" s="192" t="s">
        <v>963</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25">
      <c r="G128" s="145"/>
      <c r="H128" s="390"/>
      <c r="J128" s="351"/>
      <c r="K128" s="203" t="s">
        <v>929</v>
      </c>
      <c r="L128" s="203" t="s">
        <v>964</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2">
      <c r="G129" s="145"/>
      <c r="H129" s="390"/>
      <c r="J129" s="351"/>
      <c r="K129" s="201" t="s">
        <v>932</v>
      </c>
      <c r="L129" s="201" t="s">
        <v>962</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2">
      <c r="G130" s="145"/>
      <c r="H130" s="390"/>
      <c r="J130" s="351"/>
      <c r="K130" s="142" t="s">
        <v>932</v>
      </c>
      <c r="L130" s="192" t="s">
        <v>963</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25">
      <c r="G131" s="145"/>
      <c r="H131" s="390"/>
      <c r="J131" s="351"/>
      <c r="K131" s="203" t="s">
        <v>932</v>
      </c>
      <c r="L131" s="203" t="s">
        <v>964</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2">
      <c r="G132" s="145"/>
      <c r="H132" s="390"/>
      <c r="J132" s="351"/>
      <c r="K132" s="201" t="s">
        <v>936</v>
      </c>
      <c r="L132" s="201" t="s">
        <v>962</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2">
      <c r="G133" s="145"/>
      <c r="H133" s="390"/>
      <c r="J133" s="351"/>
      <c r="K133" s="142" t="s">
        <v>936</v>
      </c>
      <c r="L133" s="192" t="s">
        <v>963</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25">
      <c r="G134" s="145"/>
      <c r="H134" s="390"/>
      <c r="J134" s="351"/>
      <c r="K134" s="203" t="s">
        <v>936</v>
      </c>
      <c r="L134" s="203" t="s">
        <v>964</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2">
      <c r="G135" s="145"/>
      <c r="H135" s="390"/>
      <c r="J135" s="351"/>
      <c r="K135" s="201" t="s">
        <v>940</v>
      </c>
      <c r="L135" s="201" t="s">
        <v>962</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2">
      <c r="G136" s="145"/>
      <c r="H136" s="390"/>
      <c r="J136" s="351"/>
      <c r="K136" s="142" t="s">
        <v>940</v>
      </c>
      <c r="L136" s="192" t="s">
        <v>963</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2">
      <c r="G137" s="145"/>
      <c r="H137" s="390"/>
      <c r="J137" s="384"/>
      <c r="K137" s="203" t="s">
        <v>940</v>
      </c>
      <c r="L137" s="203" t="s">
        <v>964</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2">
      <c r="G138" s="145"/>
      <c r="H138" s="390"/>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2">
      <c r="G139" s="145"/>
      <c r="H139" s="390"/>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2">
      <c r="G140" s="145"/>
      <c r="H140" s="390"/>
      <c r="J140" s="350" t="s">
        <v>980</v>
      </c>
      <c r="K140" s="201" t="s">
        <v>907</v>
      </c>
      <c r="L140" s="201" t="s">
        <v>962</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2">
      <c r="G141" s="145"/>
      <c r="H141" s="390"/>
      <c r="J141" s="351"/>
      <c r="K141" s="142" t="s">
        <v>907</v>
      </c>
      <c r="L141" s="192" t="s">
        <v>963</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25">
      <c r="G142" s="145"/>
      <c r="H142" s="390"/>
      <c r="J142" s="351"/>
      <c r="K142" s="203" t="s">
        <v>907</v>
      </c>
      <c r="L142" s="203" t="s">
        <v>964</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2">
      <c r="G143" s="145"/>
      <c r="H143" s="390"/>
      <c r="J143" s="351"/>
      <c r="K143" s="201" t="s">
        <v>913</v>
      </c>
      <c r="L143" s="201" t="s">
        <v>962</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2">
      <c r="G144" s="145"/>
      <c r="H144" s="390"/>
      <c r="J144" s="351"/>
      <c r="K144" s="142" t="s">
        <v>913</v>
      </c>
      <c r="L144" s="192" t="s">
        <v>963</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25">
      <c r="G145" s="145"/>
      <c r="H145" s="390"/>
      <c r="J145" s="351"/>
      <c r="K145" s="203" t="s">
        <v>913</v>
      </c>
      <c r="L145" s="203" t="s">
        <v>964</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2">
      <c r="G146" s="145"/>
      <c r="H146" s="390"/>
      <c r="J146" s="351"/>
      <c r="K146" s="201" t="s">
        <v>917</v>
      </c>
      <c r="L146" s="201" t="s">
        <v>962</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2">
      <c r="G147" s="145"/>
      <c r="H147" s="390"/>
      <c r="J147" s="351"/>
      <c r="K147" s="142" t="s">
        <v>917</v>
      </c>
      <c r="L147" s="192" t="s">
        <v>963</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25">
      <c r="G148" s="145"/>
      <c r="H148" s="390"/>
      <c r="J148" s="351"/>
      <c r="K148" s="203" t="s">
        <v>917</v>
      </c>
      <c r="L148" s="203" t="s">
        <v>964</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2">
      <c r="G149" s="145"/>
      <c r="H149" s="390"/>
      <c r="J149" s="351"/>
      <c r="K149" s="201" t="s">
        <v>920</v>
      </c>
      <c r="L149" s="201" t="s">
        <v>962</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2">
      <c r="G150" s="145"/>
      <c r="H150" s="390"/>
      <c r="J150" s="351"/>
      <c r="K150" s="142" t="s">
        <v>920</v>
      </c>
      <c r="L150" s="192" t="s">
        <v>963</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25">
      <c r="G151" s="145"/>
      <c r="H151" s="390"/>
      <c r="J151" s="351"/>
      <c r="K151" s="203" t="s">
        <v>920</v>
      </c>
      <c r="L151" s="203" t="s">
        <v>964</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2">
      <c r="G152" s="145"/>
      <c r="H152" s="390"/>
      <c r="J152" s="351"/>
      <c r="K152" s="201" t="s">
        <v>923</v>
      </c>
      <c r="L152" s="201" t="s">
        <v>962</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2">
      <c r="G153" s="145"/>
      <c r="H153" s="390"/>
      <c r="J153" s="351"/>
      <c r="K153" s="142" t="s">
        <v>923</v>
      </c>
      <c r="L153" s="192" t="s">
        <v>963</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25">
      <c r="G154" s="145"/>
      <c r="H154" s="390"/>
      <c r="J154" s="351"/>
      <c r="K154" s="203" t="s">
        <v>923</v>
      </c>
      <c r="L154" s="203" t="s">
        <v>964</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2">
      <c r="G155" s="145"/>
      <c r="H155" s="390"/>
      <c r="J155" s="351"/>
      <c r="K155" s="201" t="s">
        <v>926</v>
      </c>
      <c r="L155" s="201" t="s">
        <v>962</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2">
      <c r="G156" s="145"/>
      <c r="H156" s="390"/>
      <c r="J156" s="351"/>
      <c r="K156" s="142" t="s">
        <v>926</v>
      </c>
      <c r="L156" s="192" t="s">
        <v>963</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25">
      <c r="G157" s="145"/>
      <c r="H157" s="390"/>
      <c r="J157" s="351"/>
      <c r="K157" s="203" t="s">
        <v>926</v>
      </c>
      <c r="L157" s="203" t="s">
        <v>964</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2">
      <c r="G158" s="145"/>
      <c r="H158" s="390"/>
      <c r="J158" s="351"/>
      <c r="K158" s="201" t="s">
        <v>929</v>
      </c>
      <c r="L158" s="201" t="s">
        <v>962</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2">
      <c r="G159" s="145"/>
      <c r="H159" s="390"/>
      <c r="J159" s="351"/>
      <c r="K159" s="142" t="s">
        <v>929</v>
      </c>
      <c r="L159" s="192" t="s">
        <v>963</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25">
      <c r="G160" s="145"/>
      <c r="H160" s="390"/>
      <c r="J160" s="351"/>
      <c r="K160" s="203" t="s">
        <v>929</v>
      </c>
      <c r="L160" s="203" t="s">
        <v>964</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2">
      <c r="G161" s="145"/>
      <c r="H161" s="390"/>
      <c r="J161" s="351"/>
      <c r="K161" s="201" t="s">
        <v>932</v>
      </c>
      <c r="L161" s="201" t="s">
        <v>962</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2">
      <c r="G162" s="145"/>
      <c r="H162" s="390"/>
      <c r="J162" s="351"/>
      <c r="K162" s="142" t="s">
        <v>932</v>
      </c>
      <c r="L162" s="192" t="s">
        <v>963</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25">
      <c r="G163" s="145"/>
      <c r="H163" s="390"/>
      <c r="J163" s="351"/>
      <c r="K163" s="203" t="s">
        <v>932</v>
      </c>
      <c r="L163" s="203" t="s">
        <v>964</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2">
      <c r="G164" s="145"/>
      <c r="H164" s="390"/>
      <c r="J164" s="351"/>
      <c r="K164" s="201" t="s">
        <v>936</v>
      </c>
      <c r="L164" s="201" t="s">
        <v>962</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2">
      <c r="G165" s="145"/>
      <c r="H165" s="390"/>
      <c r="J165" s="351"/>
      <c r="K165" s="142" t="s">
        <v>936</v>
      </c>
      <c r="L165" s="192" t="s">
        <v>963</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25">
      <c r="G166" s="145"/>
      <c r="H166" s="390"/>
      <c r="J166" s="351"/>
      <c r="K166" s="203" t="s">
        <v>936</v>
      </c>
      <c r="L166" s="203" t="s">
        <v>964</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2">
      <c r="G167" s="145"/>
      <c r="H167" s="390"/>
      <c r="J167" s="351"/>
      <c r="K167" s="201" t="s">
        <v>940</v>
      </c>
      <c r="L167" s="201" t="s">
        <v>962</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2">
      <c r="G168" s="145"/>
      <c r="H168" s="390"/>
      <c r="J168" s="351"/>
      <c r="K168" s="142" t="s">
        <v>940</v>
      </c>
      <c r="L168" s="192" t="s">
        <v>963</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2">
      <c r="G169" s="145"/>
      <c r="H169" s="390"/>
      <c r="J169" s="384"/>
      <c r="K169" s="203" t="s">
        <v>940</v>
      </c>
      <c r="L169" s="203" t="s">
        <v>964</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2">
      <c r="G170" s="145"/>
      <c r="H170" s="390"/>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2">
      <c r="G171" s="145"/>
      <c r="H171" s="390"/>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2">
      <c r="G172" s="145"/>
      <c r="H172" s="390"/>
      <c r="J172" s="350" t="s">
        <v>981</v>
      </c>
      <c r="K172" s="201" t="s">
        <v>907</v>
      </c>
      <c r="L172" s="201" t="s">
        <v>962</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2">
      <c r="G173" s="145"/>
      <c r="H173" s="390"/>
      <c r="J173" s="351"/>
      <c r="K173" s="142" t="s">
        <v>907</v>
      </c>
      <c r="L173" s="192" t="s">
        <v>963</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25">
      <c r="G174" s="145"/>
      <c r="H174" s="390"/>
      <c r="J174" s="351"/>
      <c r="K174" s="203" t="s">
        <v>907</v>
      </c>
      <c r="L174" s="203" t="s">
        <v>964</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2">
      <c r="G175" s="145"/>
      <c r="H175" s="390"/>
      <c r="J175" s="351"/>
      <c r="K175" s="201" t="s">
        <v>913</v>
      </c>
      <c r="L175" s="201" t="s">
        <v>962</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2">
      <c r="G176" s="145"/>
      <c r="H176" s="390"/>
      <c r="J176" s="351"/>
      <c r="K176" s="142" t="s">
        <v>913</v>
      </c>
      <c r="L176" s="192" t="s">
        <v>963</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25">
      <c r="G177" s="145"/>
      <c r="H177" s="390"/>
      <c r="J177" s="351"/>
      <c r="K177" s="203" t="s">
        <v>913</v>
      </c>
      <c r="L177" s="203" t="s">
        <v>964</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2">
      <c r="G178" s="145"/>
      <c r="H178" s="390"/>
      <c r="J178" s="351"/>
      <c r="K178" s="201" t="s">
        <v>917</v>
      </c>
      <c r="L178" s="201" t="s">
        <v>962</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2">
      <c r="G179" s="145"/>
      <c r="H179" s="390"/>
      <c r="J179" s="351"/>
      <c r="K179" s="142" t="s">
        <v>917</v>
      </c>
      <c r="L179" s="192" t="s">
        <v>963</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25">
      <c r="G180" s="145"/>
      <c r="H180" s="390"/>
      <c r="J180" s="351"/>
      <c r="K180" s="203" t="s">
        <v>917</v>
      </c>
      <c r="L180" s="203" t="s">
        <v>964</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2">
      <c r="G181" s="145"/>
      <c r="H181" s="390"/>
      <c r="J181" s="351"/>
      <c r="K181" s="201" t="s">
        <v>920</v>
      </c>
      <c r="L181" s="201" t="s">
        <v>962</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2">
      <c r="G182" s="145"/>
      <c r="H182" s="390"/>
      <c r="J182" s="351"/>
      <c r="K182" s="142" t="s">
        <v>920</v>
      </c>
      <c r="L182" s="192" t="s">
        <v>963</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25">
      <c r="G183" s="145"/>
      <c r="H183" s="390"/>
      <c r="J183" s="351"/>
      <c r="K183" s="203" t="s">
        <v>920</v>
      </c>
      <c r="L183" s="203" t="s">
        <v>964</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2">
      <c r="G184" s="145"/>
      <c r="H184" s="390"/>
      <c r="J184" s="351"/>
      <c r="K184" s="201" t="s">
        <v>923</v>
      </c>
      <c r="L184" s="201" t="s">
        <v>962</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2">
      <c r="G185" s="145"/>
      <c r="H185" s="390"/>
      <c r="J185" s="351"/>
      <c r="K185" s="142" t="s">
        <v>923</v>
      </c>
      <c r="L185" s="192" t="s">
        <v>963</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25">
      <c r="G186" s="145"/>
      <c r="H186" s="390"/>
      <c r="J186" s="351"/>
      <c r="K186" s="203" t="s">
        <v>923</v>
      </c>
      <c r="L186" s="203" t="s">
        <v>964</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2">
      <c r="G187" s="145"/>
      <c r="H187" s="390"/>
      <c r="J187" s="351"/>
      <c r="K187" s="201" t="s">
        <v>926</v>
      </c>
      <c r="L187" s="201" t="s">
        <v>962</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2">
      <c r="G188" s="145"/>
      <c r="H188" s="390"/>
      <c r="J188" s="351"/>
      <c r="K188" s="142" t="s">
        <v>926</v>
      </c>
      <c r="L188" s="192" t="s">
        <v>963</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25">
      <c r="G189" s="145"/>
      <c r="H189" s="390"/>
      <c r="J189" s="351"/>
      <c r="K189" s="203" t="s">
        <v>926</v>
      </c>
      <c r="L189" s="203" t="s">
        <v>964</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2">
      <c r="G190" s="145"/>
      <c r="H190" s="390"/>
      <c r="J190" s="351"/>
      <c r="K190" s="201" t="s">
        <v>929</v>
      </c>
      <c r="L190" s="201" t="s">
        <v>962</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2">
      <c r="G191" s="145"/>
      <c r="H191" s="390"/>
      <c r="J191" s="351"/>
      <c r="K191" s="142" t="s">
        <v>929</v>
      </c>
      <c r="L191" s="192" t="s">
        <v>963</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25">
      <c r="G192" s="145"/>
      <c r="H192" s="390"/>
      <c r="J192" s="351"/>
      <c r="K192" s="203" t="s">
        <v>929</v>
      </c>
      <c r="L192" s="203" t="s">
        <v>964</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2">
      <c r="G193" s="145"/>
      <c r="H193" s="390"/>
      <c r="J193" s="351"/>
      <c r="K193" s="201" t="s">
        <v>932</v>
      </c>
      <c r="L193" s="201" t="s">
        <v>962</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2">
      <c r="G194" s="145"/>
      <c r="H194" s="390"/>
      <c r="J194" s="351"/>
      <c r="K194" s="142" t="s">
        <v>932</v>
      </c>
      <c r="L194" s="192" t="s">
        <v>963</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25">
      <c r="G195" s="145"/>
      <c r="H195" s="390"/>
      <c r="J195" s="351"/>
      <c r="K195" s="203" t="s">
        <v>932</v>
      </c>
      <c r="L195" s="203" t="s">
        <v>964</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2">
      <c r="G196" s="145"/>
      <c r="H196" s="390"/>
      <c r="J196" s="351"/>
      <c r="K196" s="201" t="s">
        <v>936</v>
      </c>
      <c r="L196" s="201" t="s">
        <v>962</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2">
      <c r="G197" s="145"/>
      <c r="H197" s="390"/>
      <c r="J197" s="351"/>
      <c r="K197" s="142" t="s">
        <v>936</v>
      </c>
      <c r="L197" s="192" t="s">
        <v>963</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25">
      <c r="G198" s="145"/>
      <c r="H198" s="390"/>
      <c r="J198" s="351"/>
      <c r="K198" s="203" t="s">
        <v>936</v>
      </c>
      <c r="L198" s="203" t="s">
        <v>964</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2">
      <c r="G199" s="145"/>
      <c r="H199" s="390"/>
      <c r="J199" s="351"/>
      <c r="K199" s="201" t="s">
        <v>940</v>
      </c>
      <c r="L199" s="201" t="s">
        <v>962</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2">
      <c r="G200" s="145"/>
      <c r="H200" s="390"/>
      <c r="J200" s="351"/>
      <c r="K200" s="142" t="s">
        <v>940</v>
      </c>
      <c r="L200" s="192" t="s">
        <v>963</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2">
      <c r="G201" s="145"/>
      <c r="H201" s="390"/>
      <c r="J201" s="384"/>
      <c r="K201" s="203" t="s">
        <v>940</v>
      </c>
      <c r="L201" s="203" t="s">
        <v>964</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2">
      <c r="G202" s="145"/>
      <c r="H202" s="390"/>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2">
      <c r="G203" s="145"/>
      <c r="H203" s="390"/>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2">
      <c r="G204" s="145"/>
      <c r="H204" s="390"/>
      <c r="J204" s="350" t="s">
        <v>982</v>
      </c>
      <c r="K204" s="201" t="s">
        <v>907</v>
      </c>
      <c r="L204" s="201" t="s">
        <v>962</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2">
      <c r="G205" s="145"/>
      <c r="H205" s="390"/>
      <c r="J205" s="351"/>
      <c r="K205" s="142" t="s">
        <v>907</v>
      </c>
      <c r="L205" s="192" t="s">
        <v>963</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25">
      <c r="G206" s="145"/>
      <c r="H206" s="390"/>
      <c r="J206" s="351"/>
      <c r="K206" s="203" t="s">
        <v>907</v>
      </c>
      <c r="L206" s="203" t="s">
        <v>964</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2">
      <c r="G207" s="145"/>
      <c r="H207" s="390"/>
      <c r="J207" s="351"/>
      <c r="K207" s="201" t="s">
        <v>913</v>
      </c>
      <c r="L207" s="201" t="s">
        <v>962</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2">
      <c r="G208" s="145"/>
      <c r="H208" s="390"/>
      <c r="J208" s="351"/>
      <c r="K208" s="142" t="s">
        <v>913</v>
      </c>
      <c r="L208" s="192" t="s">
        <v>963</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25">
      <c r="G209" s="145"/>
      <c r="H209" s="390"/>
      <c r="J209" s="351"/>
      <c r="K209" s="203" t="s">
        <v>913</v>
      </c>
      <c r="L209" s="203" t="s">
        <v>964</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2">
      <c r="G210" s="145"/>
      <c r="H210" s="390"/>
      <c r="J210" s="351"/>
      <c r="K210" s="201" t="s">
        <v>917</v>
      </c>
      <c r="L210" s="201" t="s">
        <v>962</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2">
      <c r="G211" s="145"/>
      <c r="H211" s="390"/>
      <c r="J211" s="351"/>
      <c r="K211" s="142" t="s">
        <v>917</v>
      </c>
      <c r="L211" s="192" t="s">
        <v>963</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25">
      <c r="G212" s="145"/>
      <c r="H212" s="390"/>
      <c r="J212" s="351"/>
      <c r="K212" s="203" t="s">
        <v>917</v>
      </c>
      <c r="L212" s="203" t="s">
        <v>964</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2">
      <c r="G213" s="145"/>
      <c r="H213" s="390"/>
      <c r="J213" s="351"/>
      <c r="K213" s="201" t="s">
        <v>920</v>
      </c>
      <c r="L213" s="201" t="s">
        <v>962</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2">
      <c r="G214" s="145"/>
      <c r="H214" s="390"/>
      <c r="J214" s="351"/>
      <c r="K214" s="142" t="s">
        <v>920</v>
      </c>
      <c r="L214" s="192" t="s">
        <v>963</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25">
      <c r="G215" s="145"/>
      <c r="H215" s="390"/>
      <c r="J215" s="351"/>
      <c r="K215" s="203" t="s">
        <v>920</v>
      </c>
      <c r="L215" s="203" t="s">
        <v>964</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2">
      <c r="G216" s="145"/>
      <c r="H216" s="390"/>
      <c r="J216" s="351"/>
      <c r="K216" s="201" t="s">
        <v>923</v>
      </c>
      <c r="L216" s="201" t="s">
        <v>962</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2">
      <c r="G217" s="145"/>
      <c r="H217" s="390"/>
      <c r="J217" s="351"/>
      <c r="K217" s="142" t="s">
        <v>923</v>
      </c>
      <c r="L217" s="192" t="s">
        <v>963</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25">
      <c r="G218" s="145"/>
      <c r="H218" s="390"/>
      <c r="J218" s="351"/>
      <c r="K218" s="203" t="s">
        <v>923</v>
      </c>
      <c r="L218" s="203" t="s">
        <v>964</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2">
      <c r="G219" s="145"/>
      <c r="H219" s="390"/>
      <c r="J219" s="351"/>
      <c r="K219" s="201" t="s">
        <v>926</v>
      </c>
      <c r="L219" s="201" t="s">
        <v>962</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2">
      <c r="G220" s="145"/>
      <c r="H220" s="390"/>
      <c r="J220" s="351"/>
      <c r="K220" s="142" t="s">
        <v>926</v>
      </c>
      <c r="L220" s="192" t="s">
        <v>963</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25">
      <c r="G221" s="145"/>
      <c r="H221" s="390"/>
      <c r="J221" s="351"/>
      <c r="K221" s="203" t="s">
        <v>926</v>
      </c>
      <c r="L221" s="203" t="s">
        <v>964</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2">
      <c r="G222" s="145"/>
      <c r="H222" s="390"/>
      <c r="J222" s="351"/>
      <c r="K222" s="201" t="s">
        <v>929</v>
      </c>
      <c r="L222" s="201" t="s">
        <v>962</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2">
      <c r="G223" s="145"/>
      <c r="H223" s="390"/>
      <c r="J223" s="351"/>
      <c r="K223" s="142" t="s">
        <v>929</v>
      </c>
      <c r="L223" s="192" t="s">
        <v>963</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25">
      <c r="G224" s="145"/>
      <c r="H224" s="390"/>
      <c r="J224" s="351"/>
      <c r="K224" s="203" t="s">
        <v>929</v>
      </c>
      <c r="L224" s="203" t="s">
        <v>964</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2">
      <c r="G225" s="145"/>
      <c r="H225" s="390"/>
      <c r="J225" s="351"/>
      <c r="K225" s="201" t="s">
        <v>932</v>
      </c>
      <c r="L225" s="201" t="s">
        <v>962</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2">
      <c r="G226" s="145"/>
      <c r="H226" s="390"/>
      <c r="J226" s="351"/>
      <c r="K226" s="142" t="s">
        <v>932</v>
      </c>
      <c r="L226" s="192" t="s">
        <v>963</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25">
      <c r="G227" s="145"/>
      <c r="H227" s="390"/>
      <c r="J227" s="351"/>
      <c r="K227" s="203" t="s">
        <v>932</v>
      </c>
      <c r="L227" s="203" t="s">
        <v>964</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2">
      <c r="G228" s="145"/>
      <c r="H228" s="390"/>
      <c r="J228" s="351"/>
      <c r="K228" s="201" t="s">
        <v>936</v>
      </c>
      <c r="L228" s="201" t="s">
        <v>962</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2">
      <c r="G229" s="145"/>
      <c r="H229" s="390"/>
      <c r="J229" s="351"/>
      <c r="K229" s="142" t="s">
        <v>936</v>
      </c>
      <c r="L229" s="192" t="s">
        <v>963</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25">
      <c r="G230" s="145"/>
      <c r="H230" s="390"/>
      <c r="J230" s="351"/>
      <c r="K230" s="203" t="s">
        <v>936</v>
      </c>
      <c r="L230" s="203" t="s">
        <v>964</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2">
      <c r="G231" s="145"/>
      <c r="H231" s="390"/>
      <c r="J231" s="351"/>
      <c r="K231" s="201" t="s">
        <v>940</v>
      </c>
      <c r="L231" s="201" t="s">
        <v>962</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2">
      <c r="G232" s="145"/>
      <c r="H232" s="390"/>
      <c r="J232" s="351"/>
      <c r="K232" s="142" t="s">
        <v>940</v>
      </c>
      <c r="L232" s="192" t="s">
        <v>963</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25">
      <c r="G233" s="145"/>
      <c r="H233" s="390"/>
      <c r="J233" s="384"/>
      <c r="K233" s="203" t="s">
        <v>940</v>
      </c>
      <c r="L233" s="203" t="s">
        <v>964</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2">
      <c r="G234" s="145"/>
      <c r="H234" s="390"/>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2">
      <c r="G235" s="145"/>
      <c r="H235" s="390"/>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2">
      <c r="G236" s="145"/>
      <c r="H236" s="390"/>
      <c r="J236" s="350" t="s">
        <v>983</v>
      </c>
      <c r="K236" s="201" t="s">
        <v>907</v>
      </c>
      <c r="L236" s="201" t="s">
        <v>962</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2">
      <c r="G237" s="145"/>
      <c r="H237" s="390"/>
      <c r="J237" s="351"/>
      <c r="K237" s="142" t="s">
        <v>907</v>
      </c>
      <c r="L237" s="192" t="s">
        <v>963</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25">
      <c r="G238" s="145"/>
      <c r="H238" s="390"/>
      <c r="J238" s="351"/>
      <c r="K238" s="203" t="s">
        <v>907</v>
      </c>
      <c r="L238" s="203" t="s">
        <v>964</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2">
      <c r="G239" s="145"/>
      <c r="H239" s="390"/>
      <c r="J239" s="351"/>
      <c r="K239" s="201" t="s">
        <v>913</v>
      </c>
      <c r="L239" s="201" t="s">
        <v>962</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2">
      <c r="G240" s="145"/>
      <c r="H240" s="390"/>
      <c r="J240" s="351"/>
      <c r="K240" s="142" t="s">
        <v>913</v>
      </c>
      <c r="L240" s="192" t="s">
        <v>963</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25">
      <c r="G241" s="145"/>
      <c r="H241" s="390"/>
      <c r="J241" s="351"/>
      <c r="K241" s="203" t="s">
        <v>913</v>
      </c>
      <c r="L241" s="203" t="s">
        <v>964</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2">
      <c r="G242" s="145"/>
      <c r="H242" s="390"/>
      <c r="J242" s="351"/>
      <c r="K242" s="201" t="s">
        <v>917</v>
      </c>
      <c r="L242" s="201" t="s">
        <v>962</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2">
      <c r="G243" s="145"/>
      <c r="H243" s="390"/>
      <c r="J243" s="351"/>
      <c r="K243" s="142" t="s">
        <v>917</v>
      </c>
      <c r="L243" s="192" t="s">
        <v>963</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25">
      <c r="G244" s="145"/>
      <c r="H244" s="390"/>
      <c r="J244" s="351"/>
      <c r="K244" s="203" t="s">
        <v>917</v>
      </c>
      <c r="L244" s="203" t="s">
        <v>964</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2">
      <c r="G245" s="145"/>
      <c r="H245" s="390"/>
      <c r="J245" s="351"/>
      <c r="K245" s="201" t="s">
        <v>920</v>
      </c>
      <c r="L245" s="201" t="s">
        <v>962</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2">
      <c r="G246" s="145"/>
      <c r="H246" s="390"/>
      <c r="J246" s="351"/>
      <c r="K246" s="142" t="s">
        <v>920</v>
      </c>
      <c r="L246" s="192" t="s">
        <v>963</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25">
      <c r="G247" s="145"/>
      <c r="H247" s="390"/>
      <c r="J247" s="351"/>
      <c r="K247" s="203" t="s">
        <v>920</v>
      </c>
      <c r="L247" s="203" t="s">
        <v>964</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2">
      <c r="G248" s="145"/>
      <c r="H248" s="390"/>
      <c r="J248" s="351"/>
      <c r="K248" s="201" t="s">
        <v>923</v>
      </c>
      <c r="L248" s="201" t="s">
        <v>962</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2">
      <c r="G249" s="145"/>
      <c r="H249" s="390"/>
      <c r="J249" s="351"/>
      <c r="K249" s="142" t="s">
        <v>923</v>
      </c>
      <c r="L249" s="192" t="s">
        <v>963</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25">
      <c r="G250" s="145"/>
      <c r="H250" s="390"/>
      <c r="J250" s="351"/>
      <c r="K250" s="203" t="s">
        <v>923</v>
      </c>
      <c r="L250" s="203" t="s">
        <v>964</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2">
      <c r="G251" s="145"/>
      <c r="H251" s="390"/>
      <c r="J251" s="351"/>
      <c r="K251" s="201" t="s">
        <v>926</v>
      </c>
      <c r="L251" s="201" t="s">
        <v>962</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2">
      <c r="G252" s="145"/>
      <c r="H252" s="390"/>
      <c r="J252" s="351"/>
      <c r="K252" s="142" t="s">
        <v>926</v>
      </c>
      <c r="L252" s="192" t="s">
        <v>963</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25">
      <c r="G253" s="145"/>
      <c r="H253" s="390"/>
      <c r="J253" s="351"/>
      <c r="K253" s="203" t="s">
        <v>926</v>
      </c>
      <c r="L253" s="203" t="s">
        <v>964</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2">
      <c r="G254" s="145"/>
      <c r="H254" s="390"/>
      <c r="J254" s="351"/>
      <c r="K254" s="201" t="s">
        <v>929</v>
      </c>
      <c r="L254" s="201" t="s">
        <v>962</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2">
      <c r="G255" s="145"/>
      <c r="H255" s="390"/>
      <c r="J255" s="351"/>
      <c r="K255" s="142" t="s">
        <v>929</v>
      </c>
      <c r="L255" s="192" t="s">
        <v>963</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25">
      <c r="G256" s="145"/>
      <c r="H256" s="390"/>
      <c r="J256" s="351"/>
      <c r="K256" s="203" t="s">
        <v>929</v>
      </c>
      <c r="L256" s="203" t="s">
        <v>964</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2">
      <c r="G257" s="145"/>
      <c r="H257" s="390"/>
      <c r="J257" s="351"/>
      <c r="K257" s="201" t="s">
        <v>932</v>
      </c>
      <c r="L257" s="201" t="s">
        <v>962</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2">
      <c r="G258" s="145"/>
      <c r="H258" s="390"/>
      <c r="J258" s="351"/>
      <c r="K258" s="142" t="s">
        <v>932</v>
      </c>
      <c r="L258" s="192" t="s">
        <v>963</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25">
      <c r="G259" s="145"/>
      <c r="H259" s="390"/>
      <c r="J259" s="351"/>
      <c r="K259" s="203" t="s">
        <v>932</v>
      </c>
      <c r="L259" s="203" t="s">
        <v>964</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2">
      <c r="G260" s="145"/>
      <c r="H260" s="390"/>
      <c r="J260" s="351"/>
      <c r="K260" s="201" t="s">
        <v>936</v>
      </c>
      <c r="L260" s="201" t="s">
        <v>962</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2">
      <c r="G261" s="145"/>
      <c r="H261" s="390"/>
      <c r="J261" s="351"/>
      <c r="K261" s="142" t="s">
        <v>936</v>
      </c>
      <c r="L261" s="192" t="s">
        <v>963</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25">
      <c r="G262" s="145"/>
      <c r="H262" s="390"/>
      <c r="J262" s="351"/>
      <c r="K262" s="203" t="s">
        <v>936</v>
      </c>
      <c r="L262" s="203" t="s">
        <v>964</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2">
      <c r="G263" s="145"/>
      <c r="H263" s="390"/>
      <c r="J263" s="351"/>
      <c r="K263" s="201" t="s">
        <v>940</v>
      </c>
      <c r="L263" s="201" t="s">
        <v>962</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2">
      <c r="G264" s="145"/>
      <c r="H264" s="390"/>
      <c r="J264" s="351"/>
      <c r="K264" s="142" t="s">
        <v>940</v>
      </c>
      <c r="L264" s="192" t="s">
        <v>963</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25">
      <c r="G265" s="145"/>
      <c r="H265" s="390"/>
      <c r="J265" s="384"/>
      <c r="K265" s="203" t="s">
        <v>940</v>
      </c>
      <c r="L265" s="203" t="s">
        <v>964</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2">
      <c r="G266" s="145"/>
      <c r="H266" s="390"/>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2">
      <c r="G267" s="145"/>
      <c r="H267" s="390"/>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2">
      <c r="G268" s="145"/>
      <c r="H268" s="390"/>
      <c r="J268" s="350" t="s">
        <v>984</v>
      </c>
      <c r="K268" s="201" t="s">
        <v>907</v>
      </c>
      <c r="L268" s="201" t="s">
        <v>962</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2">
      <c r="G269" s="145"/>
      <c r="H269" s="390"/>
      <c r="J269" s="351"/>
      <c r="K269" s="142" t="s">
        <v>907</v>
      </c>
      <c r="L269" s="192" t="s">
        <v>963</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25">
      <c r="G270" s="145"/>
      <c r="H270" s="390"/>
      <c r="J270" s="351"/>
      <c r="K270" s="203" t="s">
        <v>907</v>
      </c>
      <c r="L270" s="203" t="s">
        <v>964</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2">
      <c r="G271" s="145"/>
      <c r="H271" s="390"/>
      <c r="J271" s="351"/>
      <c r="K271" s="201" t="s">
        <v>913</v>
      </c>
      <c r="L271" s="201" t="s">
        <v>962</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2">
      <c r="G272" s="145"/>
      <c r="H272" s="390"/>
      <c r="J272" s="351"/>
      <c r="K272" s="142" t="s">
        <v>913</v>
      </c>
      <c r="L272" s="192" t="s">
        <v>963</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25">
      <c r="G273" s="145"/>
      <c r="H273" s="390"/>
      <c r="J273" s="351"/>
      <c r="K273" s="203" t="s">
        <v>913</v>
      </c>
      <c r="L273" s="203" t="s">
        <v>964</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2">
      <c r="G274" s="145"/>
      <c r="H274" s="390"/>
      <c r="J274" s="351"/>
      <c r="K274" s="201" t="s">
        <v>917</v>
      </c>
      <c r="L274" s="201" t="s">
        <v>962</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2">
      <c r="G275" s="145"/>
      <c r="H275" s="390"/>
      <c r="J275" s="351"/>
      <c r="K275" s="142" t="s">
        <v>917</v>
      </c>
      <c r="L275" s="192" t="s">
        <v>963</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25">
      <c r="G276" s="145"/>
      <c r="H276" s="390"/>
      <c r="J276" s="351"/>
      <c r="K276" s="203" t="s">
        <v>917</v>
      </c>
      <c r="L276" s="203" t="s">
        <v>964</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2">
      <c r="G277" s="145"/>
      <c r="H277" s="390"/>
      <c r="J277" s="351"/>
      <c r="K277" s="201" t="s">
        <v>920</v>
      </c>
      <c r="L277" s="201" t="s">
        <v>962</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2">
      <c r="G278" s="145"/>
      <c r="H278" s="390"/>
      <c r="J278" s="351"/>
      <c r="K278" s="142" t="s">
        <v>920</v>
      </c>
      <c r="L278" s="192" t="s">
        <v>963</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25">
      <c r="G279" s="145"/>
      <c r="H279" s="390"/>
      <c r="J279" s="351"/>
      <c r="K279" s="203" t="s">
        <v>920</v>
      </c>
      <c r="L279" s="203" t="s">
        <v>964</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2">
      <c r="G280" s="145"/>
      <c r="H280" s="390"/>
      <c r="J280" s="351"/>
      <c r="K280" s="201" t="s">
        <v>923</v>
      </c>
      <c r="L280" s="201" t="s">
        <v>962</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2">
      <c r="G281" s="145"/>
      <c r="H281" s="390"/>
      <c r="J281" s="351"/>
      <c r="K281" s="142" t="s">
        <v>923</v>
      </c>
      <c r="L281" s="192" t="s">
        <v>963</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25">
      <c r="G282" s="145"/>
      <c r="H282" s="390"/>
      <c r="J282" s="351"/>
      <c r="K282" s="203" t="s">
        <v>923</v>
      </c>
      <c r="L282" s="203" t="s">
        <v>964</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2">
      <c r="G283" s="145"/>
      <c r="H283" s="390"/>
      <c r="J283" s="351"/>
      <c r="K283" s="201" t="s">
        <v>926</v>
      </c>
      <c r="L283" s="201" t="s">
        <v>962</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2">
      <c r="G284" s="145"/>
      <c r="H284" s="390"/>
      <c r="J284" s="351"/>
      <c r="K284" s="142" t="s">
        <v>926</v>
      </c>
      <c r="L284" s="192" t="s">
        <v>963</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25">
      <c r="G285" s="145"/>
      <c r="H285" s="390"/>
      <c r="J285" s="351"/>
      <c r="K285" s="203" t="s">
        <v>926</v>
      </c>
      <c r="L285" s="203" t="s">
        <v>964</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2">
      <c r="G286" s="145"/>
      <c r="H286" s="390"/>
      <c r="J286" s="351"/>
      <c r="K286" s="201" t="s">
        <v>929</v>
      </c>
      <c r="L286" s="201" t="s">
        <v>962</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2">
      <c r="G287" s="145"/>
      <c r="H287" s="390"/>
      <c r="J287" s="351"/>
      <c r="K287" s="142" t="s">
        <v>929</v>
      </c>
      <c r="L287" s="192" t="s">
        <v>963</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25">
      <c r="G288" s="145"/>
      <c r="H288" s="390"/>
      <c r="J288" s="351"/>
      <c r="K288" s="203" t="s">
        <v>929</v>
      </c>
      <c r="L288" s="203" t="s">
        <v>964</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2">
      <c r="G289" s="145"/>
      <c r="H289" s="390"/>
      <c r="J289" s="351"/>
      <c r="K289" s="201" t="s">
        <v>932</v>
      </c>
      <c r="L289" s="201" t="s">
        <v>962</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2">
      <c r="G290" s="145"/>
      <c r="H290" s="390"/>
      <c r="J290" s="351"/>
      <c r="K290" s="142" t="s">
        <v>932</v>
      </c>
      <c r="L290" s="192" t="s">
        <v>963</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25">
      <c r="G291" s="145"/>
      <c r="H291" s="390"/>
      <c r="J291" s="351"/>
      <c r="K291" s="203" t="s">
        <v>932</v>
      </c>
      <c r="L291" s="203" t="s">
        <v>964</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2">
      <c r="G292" s="145"/>
      <c r="H292" s="390"/>
      <c r="J292" s="351"/>
      <c r="K292" s="201" t="s">
        <v>936</v>
      </c>
      <c r="L292" s="201" t="s">
        <v>962</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2">
      <c r="G293" s="145"/>
      <c r="H293" s="390"/>
      <c r="J293" s="351"/>
      <c r="K293" s="142" t="s">
        <v>936</v>
      </c>
      <c r="L293" s="192" t="s">
        <v>963</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25">
      <c r="G294" s="145"/>
      <c r="H294" s="390"/>
      <c r="J294" s="351"/>
      <c r="K294" s="203" t="s">
        <v>936</v>
      </c>
      <c r="L294" s="203" t="s">
        <v>964</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2">
      <c r="G295" s="145"/>
      <c r="H295" s="390"/>
      <c r="J295" s="351"/>
      <c r="K295" s="201" t="s">
        <v>940</v>
      </c>
      <c r="L295" s="201" t="s">
        <v>962</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2">
      <c r="G296" s="145"/>
      <c r="H296" s="390"/>
      <c r="J296" s="351"/>
      <c r="K296" s="142" t="s">
        <v>940</v>
      </c>
      <c r="L296" s="192" t="s">
        <v>963</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2">
      <c r="G297" s="145"/>
      <c r="H297" s="390"/>
      <c r="J297" s="384"/>
      <c r="K297" s="203" t="s">
        <v>940</v>
      </c>
      <c r="L297" s="203" t="s">
        <v>964</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2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2">
      <c r="G299" s="145"/>
      <c r="H299" s="238"/>
      <c r="I299" s="238"/>
    </row>
    <row r="300" spans="7:42" ht="14.25" customHeight="1" x14ac:dyDescent="0.2">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2">
      <c r="G301" s="145"/>
      <c r="H301" s="457" t="s">
        <v>985</v>
      </c>
      <c r="J301" s="350" t="s">
        <v>986</v>
      </c>
      <c r="K301" s="201" t="s">
        <v>907</v>
      </c>
      <c r="L301" s="201" t="s">
        <v>962</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2">
      <c r="G302" s="145"/>
      <c r="H302" s="457"/>
      <c r="J302" s="351"/>
      <c r="K302" s="142" t="s">
        <v>907</v>
      </c>
      <c r="L302" s="192" t="s">
        <v>963</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25">
      <c r="G303" s="145"/>
      <c r="H303" s="457"/>
      <c r="J303" s="351"/>
      <c r="K303" s="203" t="s">
        <v>907</v>
      </c>
      <c r="L303" s="203" t="s">
        <v>964</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2">
      <c r="G304" s="145"/>
      <c r="H304" s="457"/>
      <c r="J304" s="351"/>
      <c r="K304" s="201" t="s">
        <v>913</v>
      </c>
      <c r="L304" s="201" t="s">
        <v>962</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2">
      <c r="G305" s="145"/>
      <c r="H305" s="457"/>
      <c r="J305" s="351"/>
      <c r="K305" s="142" t="s">
        <v>913</v>
      </c>
      <c r="L305" s="192" t="s">
        <v>963</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25">
      <c r="G306" s="145"/>
      <c r="H306" s="457"/>
      <c r="J306" s="351"/>
      <c r="K306" s="203" t="s">
        <v>913</v>
      </c>
      <c r="L306" s="203" t="s">
        <v>964</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2">
      <c r="G307" s="145"/>
      <c r="H307" s="457"/>
      <c r="J307" s="351"/>
      <c r="K307" s="201" t="s">
        <v>917</v>
      </c>
      <c r="L307" s="201" t="s">
        <v>962</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2">
      <c r="G308" s="145"/>
      <c r="H308" s="457"/>
      <c r="J308" s="351"/>
      <c r="K308" s="142" t="s">
        <v>917</v>
      </c>
      <c r="L308" s="192" t="s">
        <v>963</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25">
      <c r="G309" s="145"/>
      <c r="H309" s="457"/>
      <c r="J309" s="351"/>
      <c r="K309" s="203" t="s">
        <v>917</v>
      </c>
      <c r="L309" s="203" t="s">
        <v>964</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2">
      <c r="G310" s="145"/>
      <c r="H310" s="457"/>
      <c r="J310" s="351"/>
      <c r="K310" s="201" t="s">
        <v>920</v>
      </c>
      <c r="L310" s="201" t="s">
        <v>962</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2">
      <c r="G311" s="145"/>
      <c r="H311" s="457"/>
      <c r="J311" s="351"/>
      <c r="K311" s="142" t="s">
        <v>920</v>
      </c>
      <c r="L311" s="192" t="s">
        <v>963</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25">
      <c r="G312" s="145"/>
      <c r="H312" s="457"/>
      <c r="J312" s="351"/>
      <c r="K312" s="203" t="s">
        <v>920</v>
      </c>
      <c r="L312" s="203" t="s">
        <v>964</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2">
      <c r="G313" s="145"/>
      <c r="H313" s="457"/>
      <c r="J313" s="351"/>
      <c r="K313" s="201" t="s">
        <v>923</v>
      </c>
      <c r="L313" s="201" t="s">
        <v>962</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2">
      <c r="G314" s="145"/>
      <c r="H314" s="457"/>
      <c r="J314" s="351"/>
      <c r="K314" s="142" t="s">
        <v>923</v>
      </c>
      <c r="L314" s="192" t="s">
        <v>963</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25">
      <c r="G315" s="145"/>
      <c r="H315" s="457"/>
      <c r="J315" s="351"/>
      <c r="K315" s="203" t="s">
        <v>923</v>
      </c>
      <c r="L315" s="203" t="s">
        <v>964</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2">
      <c r="G316" s="145"/>
      <c r="H316" s="457"/>
      <c r="J316" s="351"/>
      <c r="K316" s="201" t="s">
        <v>926</v>
      </c>
      <c r="L316" s="201" t="s">
        <v>962</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2">
      <c r="G317" s="145"/>
      <c r="H317" s="457"/>
      <c r="J317" s="351"/>
      <c r="K317" s="142" t="s">
        <v>926</v>
      </c>
      <c r="L317" s="192" t="s">
        <v>963</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25">
      <c r="G318" s="145"/>
      <c r="H318" s="457"/>
      <c r="J318" s="351"/>
      <c r="K318" s="203" t="s">
        <v>926</v>
      </c>
      <c r="L318" s="203" t="s">
        <v>964</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2">
      <c r="G319" s="145"/>
      <c r="H319" s="457"/>
      <c r="J319" s="351"/>
      <c r="K319" s="201" t="s">
        <v>929</v>
      </c>
      <c r="L319" s="201" t="s">
        <v>962</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2">
      <c r="G320" s="145"/>
      <c r="H320" s="457"/>
      <c r="J320" s="351"/>
      <c r="K320" s="142" t="s">
        <v>929</v>
      </c>
      <c r="L320" s="192" t="s">
        <v>963</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25">
      <c r="G321" s="145"/>
      <c r="H321" s="457"/>
      <c r="J321" s="351"/>
      <c r="K321" s="203" t="s">
        <v>929</v>
      </c>
      <c r="L321" s="203" t="s">
        <v>964</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2">
      <c r="G322" s="145"/>
      <c r="H322" s="457"/>
      <c r="J322" s="351"/>
      <c r="K322" s="201" t="s">
        <v>932</v>
      </c>
      <c r="L322" s="201" t="s">
        <v>962</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2">
      <c r="G323" s="145"/>
      <c r="H323" s="457"/>
      <c r="J323" s="351"/>
      <c r="K323" s="142" t="s">
        <v>932</v>
      </c>
      <c r="L323" s="192" t="s">
        <v>963</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25">
      <c r="G324" s="145"/>
      <c r="H324" s="457"/>
      <c r="J324" s="351"/>
      <c r="K324" s="203" t="s">
        <v>932</v>
      </c>
      <c r="L324" s="203" t="s">
        <v>964</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2">
      <c r="G325" s="145"/>
      <c r="H325" s="457"/>
      <c r="J325" s="351"/>
      <c r="K325" s="201" t="s">
        <v>936</v>
      </c>
      <c r="L325" s="201" t="s">
        <v>962</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2">
      <c r="G326" s="145"/>
      <c r="H326" s="457"/>
      <c r="J326" s="351"/>
      <c r="K326" s="142" t="s">
        <v>936</v>
      </c>
      <c r="L326" s="192" t="s">
        <v>963</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25">
      <c r="G327" s="145"/>
      <c r="H327" s="457"/>
      <c r="J327" s="351"/>
      <c r="K327" s="203" t="s">
        <v>936</v>
      </c>
      <c r="L327" s="203" t="s">
        <v>964</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2">
      <c r="G328" s="145"/>
      <c r="H328" s="457"/>
      <c r="J328" s="351"/>
      <c r="K328" s="201" t="s">
        <v>940</v>
      </c>
      <c r="L328" s="201" t="s">
        <v>962</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2">
      <c r="G329" s="145"/>
      <c r="H329" s="457"/>
      <c r="J329" s="351"/>
      <c r="K329" s="142" t="s">
        <v>940</v>
      </c>
      <c r="L329" s="192" t="s">
        <v>963</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2">
      <c r="G330" s="145"/>
      <c r="H330" s="457"/>
      <c r="J330" s="384"/>
      <c r="K330" s="203" t="s">
        <v>940</v>
      </c>
      <c r="L330" s="203" t="s">
        <v>964</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2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2">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2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2">
      <c r="G334" s="145"/>
      <c r="H334" s="385" t="s">
        <v>987</v>
      </c>
      <c r="J334" s="350" t="s">
        <v>988</v>
      </c>
      <c r="K334" s="201" t="s">
        <v>907</v>
      </c>
      <c r="L334" s="201" t="s">
        <v>962</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2">
      <c r="G335" s="145"/>
      <c r="H335" s="385"/>
      <c r="J335" s="351"/>
      <c r="K335" s="142" t="s">
        <v>907</v>
      </c>
      <c r="L335" s="192" t="s">
        <v>963</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25">
      <c r="G336" s="145"/>
      <c r="H336" s="385"/>
      <c r="J336" s="351"/>
      <c r="K336" s="203" t="s">
        <v>907</v>
      </c>
      <c r="L336" s="203" t="s">
        <v>964</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2">
      <c r="G337" s="145"/>
      <c r="H337" s="385"/>
      <c r="J337" s="351"/>
      <c r="K337" s="201" t="s">
        <v>913</v>
      </c>
      <c r="L337" s="201" t="s">
        <v>962</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2">
      <c r="G338" s="145"/>
      <c r="H338" s="385"/>
      <c r="J338" s="351"/>
      <c r="K338" s="142" t="s">
        <v>913</v>
      </c>
      <c r="L338" s="192" t="s">
        <v>963</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25">
      <c r="G339" s="145"/>
      <c r="H339" s="385"/>
      <c r="J339" s="351"/>
      <c r="K339" s="203" t="s">
        <v>913</v>
      </c>
      <c r="L339" s="203" t="s">
        <v>964</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2">
      <c r="G340" s="145"/>
      <c r="H340" s="385"/>
      <c r="J340" s="351"/>
      <c r="K340" s="201" t="s">
        <v>917</v>
      </c>
      <c r="L340" s="201" t="s">
        <v>962</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2">
      <c r="G341" s="145"/>
      <c r="H341" s="385"/>
      <c r="J341" s="351"/>
      <c r="K341" s="142" t="s">
        <v>917</v>
      </c>
      <c r="L341" s="192" t="s">
        <v>963</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25">
      <c r="G342" s="145"/>
      <c r="H342" s="385"/>
      <c r="J342" s="351"/>
      <c r="K342" s="203" t="s">
        <v>917</v>
      </c>
      <c r="L342" s="203" t="s">
        <v>964</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2">
      <c r="G343" s="145"/>
      <c r="H343" s="385"/>
      <c r="J343" s="351"/>
      <c r="K343" s="201" t="s">
        <v>920</v>
      </c>
      <c r="L343" s="201" t="s">
        <v>962</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2">
      <c r="G344" s="145"/>
      <c r="H344" s="385"/>
      <c r="J344" s="351"/>
      <c r="K344" s="142" t="s">
        <v>920</v>
      </c>
      <c r="L344" s="192" t="s">
        <v>963</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25">
      <c r="G345" s="145"/>
      <c r="H345" s="385"/>
      <c r="J345" s="351"/>
      <c r="K345" s="203" t="s">
        <v>920</v>
      </c>
      <c r="L345" s="203" t="s">
        <v>964</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2">
      <c r="G346" s="145"/>
      <c r="H346" s="385"/>
      <c r="J346" s="351"/>
      <c r="K346" s="201" t="s">
        <v>923</v>
      </c>
      <c r="L346" s="201" t="s">
        <v>962</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2">
      <c r="G347" s="145"/>
      <c r="H347" s="385"/>
      <c r="J347" s="351"/>
      <c r="K347" s="142" t="s">
        <v>923</v>
      </c>
      <c r="L347" s="192" t="s">
        <v>963</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25">
      <c r="G348" s="145"/>
      <c r="H348" s="385"/>
      <c r="J348" s="351"/>
      <c r="K348" s="203" t="s">
        <v>923</v>
      </c>
      <c r="L348" s="203" t="s">
        <v>964</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2">
      <c r="G349" s="145"/>
      <c r="H349" s="385"/>
      <c r="J349" s="351"/>
      <c r="K349" s="201" t="s">
        <v>926</v>
      </c>
      <c r="L349" s="201" t="s">
        <v>962</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2">
      <c r="G350" s="145"/>
      <c r="H350" s="385"/>
      <c r="J350" s="351"/>
      <c r="K350" s="142" t="s">
        <v>926</v>
      </c>
      <c r="L350" s="192" t="s">
        <v>963</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25">
      <c r="G351" s="145"/>
      <c r="H351" s="385"/>
      <c r="J351" s="351"/>
      <c r="K351" s="203" t="s">
        <v>926</v>
      </c>
      <c r="L351" s="203" t="s">
        <v>964</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2">
      <c r="G352" s="145"/>
      <c r="H352" s="385"/>
      <c r="J352" s="351"/>
      <c r="K352" s="201" t="s">
        <v>929</v>
      </c>
      <c r="L352" s="201" t="s">
        <v>962</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2">
      <c r="G353" s="145"/>
      <c r="H353" s="385"/>
      <c r="J353" s="351"/>
      <c r="K353" s="142" t="s">
        <v>929</v>
      </c>
      <c r="L353" s="192" t="s">
        <v>963</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25">
      <c r="G354" s="145"/>
      <c r="H354" s="385"/>
      <c r="J354" s="351"/>
      <c r="K354" s="203" t="s">
        <v>929</v>
      </c>
      <c r="L354" s="203" t="s">
        <v>964</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2">
      <c r="G355" s="145"/>
      <c r="H355" s="385"/>
      <c r="J355" s="351"/>
      <c r="K355" s="201" t="s">
        <v>932</v>
      </c>
      <c r="L355" s="201" t="s">
        <v>962</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2">
      <c r="G356" s="145"/>
      <c r="H356" s="385"/>
      <c r="J356" s="351"/>
      <c r="K356" s="142" t="s">
        <v>932</v>
      </c>
      <c r="L356" s="192" t="s">
        <v>963</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25">
      <c r="G357" s="145"/>
      <c r="H357" s="385"/>
      <c r="J357" s="351"/>
      <c r="K357" s="203" t="s">
        <v>932</v>
      </c>
      <c r="L357" s="203" t="s">
        <v>964</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2">
      <c r="G358" s="145"/>
      <c r="H358" s="385"/>
      <c r="J358" s="351"/>
      <c r="K358" s="201" t="s">
        <v>936</v>
      </c>
      <c r="L358" s="201" t="s">
        <v>962</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2">
      <c r="G359" s="145"/>
      <c r="H359" s="385"/>
      <c r="J359" s="351"/>
      <c r="K359" s="142" t="s">
        <v>936</v>
      </c>
      <c r="L359" s="192" t="s">
        <v>963</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25">
      <c r="G360" s="145"/>
      <c r="H360" s="385"/>
      <c r="J360" s="351"/>
      <c r="K360" s="203" t="s">
        <v>936</v>
      </c>
      <c r="L360" s="203" t="s">
        <v>964</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2">
      <c r="G361" s="145"/>
      <c r="H361" s="385"/>
      <c r="J361" s="351"/>
      <c r="K361" s="201" t="s">
        <v>940</v>
      </c>
      <c r="L361" s="201" t="s">
        <v>962</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2">
      <c r="G362" s="145"/>
      <c r="H362" s="385"/>
      <c r="J362" s="351"/>
      <c r="K362" s="142" t="s">
        <v>940</v>
      </c>
      <c r="L362" s="192" t="s">
        <v>963</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2">
      <c r="G363" s="145"/>
      <c r="H363" s="385"/>
      <c r="J363" s="384"/>
      <c r="K363" s="203" t="s">
        <v>940</v>
      </c>
      <c r="L363" s="203" t="s">
        <v>964</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2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2">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2">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2">
      <c r="G367" s="145"/>
      <c r="H367" s="389" t="s">
        <v>989</v>
      </c>
      <c r="J367" s="350" t="s">
        <v>990</v>
      </c>
      <c r="K367" s="142" t="s">
        <v>991</v>
      </c>
      <c r="L367" s="142" t="s">
        <v>962</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2">
      <c r="G368" s="145"/>
      <c r="H368" s="389"/>
      <c r="J368" s="351"/>
      <c r="K368" s="142" t="s">
        <v>991</v>
      </c>
      <c r="L368" s="142" t="s">
        <v>963</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2">
      <c r="G369" s="145"/>
      <c r="H369" s="389"/>
      <c r="J369" s="351"/>
      <c r="K369" s="142" t="s">
        <v>991</v>
      </c>
      <c r="L369" s="142" t="s">
        <v>964</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2">
      <c r="G370" s="145"/>
      <c r="H370" s="389"/>
      <c r="J370" s="351"/>
      <c r="K370" s="142" t="s">
        <v>992</v>
      </c>
      <c r="L370" s="142" t="s">
        <v>960</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2">
      <c r="G371" s="145"/>
      <c r="H371" s="389"/>
      <c r="J371" s="351"/>
      <c r="K371" s="142" t="s">
        <v>730</v>
      </c>
      <c r="L371" s="142" t="s">
        <v>962</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2">
      <c r="G372" s="145"/>
      <c r="H372" s="389"/>
      <c r="J372" s="351"/>
      <c r="K372" s="142" t="s">
        <v>730</v>
      </c>
      <c r="L372" s="142" t="s">
        <v>963</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2">
      <c r="G373" s="145"/>
      <c r="H373" s="389"/>
      <c r="J373" s="351"/>
      <c r="K373" s="142" t="s">
        <v>730</v>
      </c>
      <c r="L373" s="142" t="s">
        <v>964</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2">
      <c r="G374" s="145"/>
      <c r="H374" s="243"/>
      <c r="J374" s="244"/>
      <c r="K374" s="142" t="s">
        <v>993</v>
      </c>
      <c r="L374" s="142" t="s">
        <v>962</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2">
      <c r="G375" s="145"/>
      <c r="H375" s="243"/>
      <c r="J375" s="244"/>
      <c r="K375" s="142" t="s">
        <v>993</v>
      </c>
      <c r="L375" s="142" t="s">
        <v>963</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2">
      <c r="G376" s="145"/>
      <c r="H376" s="243"/>
      <c r="J376" s="244"/>
      <c r="K376" s="142" t="s">
        <v>993</v>
      </c>
      <c r="L376" s="142" t="s">
        <v>964</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2">
      <c r="G377" s="145"/>
      <c r="H377" s="243"/>
      <c r="J377" s="244"/>
      <c r="K377" s="142" t="s">
        <v>994</v>
      </c>
      <c r="L377" s="142" t="s">
        <v>962</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2">
      <c r="G378" s="145"/>
      <c r="H378" s="243"/>
      <c r="J378" s="244"/>
      <c r="K378" s="142" t="s">
        <v>994</v>
      </c>
      <c r="L378" s="142" t="s">
        <v>963</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2">
      <c r="G379" s="145"/>
      <c r="H379" s="243"/>
      <c r="J379" s="244"/>
      <c r="K379" s="142" t="s">
        <v>994</v>
      </c>
      <c r="L379" s="142" t="s">
        <v>964</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2">
      <c r="G380" s="145"/>
      <c r="H380" s="240"/>
      <c r="I380" s="246" t="s">
        <v>995</v>
      </c>
      <c r="J380" s="458" t="s">
        <v>996</v>
      </c>
      <c r="K380" s="248" t="s">
        <v>997</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2">
      <c r="G381" s="145"/>
      <c r="H381" s="240"/>
      <c r="I381" s="137">
        <v>0.2</v>
      </c>
      <c r="J381" s="458"/>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2">
      <c r="G382" s="145"/>
      <c r="H382" s="240"/>
      <c r="I382" s="137">
        <v>0.32</v>
      </c>
      <c r="J382" s="458"/>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2">
      <c r="G383" s="145"/>
      <c r="H383" s="240"/>
      <c r="I383" s="137">
        <v>0.192</v>
      </c>
      <c r="J383" s="458"/>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2">
      <c r="G384" s="145"/>
      <c r="H384" s="240"/>
      <c r="I384" s="137">
        <v>0.1152</v>
      </c>
      <c r="J384" s="458"/>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2">
      <c r="G385" s="145"/>
      <c r="H385" s="240"/>
      <c r="I385" s="137">
        <v>0.1152</v>
      </c>
      <c r="J385" s="458"/>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2">
      <c r="G386" s="145"/>
      <c r="H386" s="240"/>
      <c r="I386" s="137">
        <v>5.7599999999999998E-2</v>
      </c>
      <c r="J386" s="458"/>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2">
      <c r="G387" s="145"/>
      <c r="H387" s="240"/>
      <c r="J387" s="251"/>
      <c r="K387" s="248" t="s">
        <v>998</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2">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2">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2">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2">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2">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2">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2">
      <c r="G394" s="145"/>
      <c r="H394" s="240"/>
      <c r="J394" s="251"/>
      <c r="K394" s="249" t="s">
        <v>999</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2">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2">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2">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2">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2">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2">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2">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2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2">
      <c r="G403" s="255"/>
      <c r="H403" s="240"/>
      <c r="J403" s="350" t="s">
        <v>1000</v>
      </c>
      <c r="K403" s="142" t="s">
        <v>1001</v>
      </c>
      <c r="L403" s="142" t="s">
        <v>962</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2">
      <c r="F404" s="257"/>
      <c r="H404" s="240"/>
      <c r="J404" s="351"/>
      <c r="K404" s="142" t="s">
        <v>1001</v>
      </c>
      <c r="L404" s="142" t="s">
        <v>963</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2">
      <c r="F405" s="257"/>
      <c r="H405" s="240"/>
      <c r="J405" s="351"/>
      <c r="K405" s="142" t="s">
        <v>1001</v>
      </c>
      <c r="L405" s="142" t="s">
        <v>964</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25">
      <c r="F406" s="257"/>
      <c r="H406" s="240"/>
      <c r="J406" s="132"/>
    </row>
    <row r="407" spans="6:42" ht="14.25" customHeight="1" thickTop="1" thickBot="1" x14ac:dyDescent="0.25">
      <c r="F407" s="257"/>
      <c r="H407" s="240"/>
      <c r="J407" s="251"/>
      <c r="K407" s="142" t="s">
        <v>1002</v>
      </c>
      <c r="L407" s="142" t="s">
        <v>960</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25">
      <c r="F408" s="257"/>
      <c r="H408" s="240"/>
      <c r="J408" s="251"/>
      <c r="K408" s="142" t="s">
        <v>1003</v>
      </c>
      <c r="L408" s="142" t="s">
        <v>960</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25">
      <c r="F409" s="257"/>
      <c r="H409" s="240"/>
      <c r="J409" s="251"/>
      <c r="K409" s="142" t="s">
        <v>1004</v>
      </c>
      <c r="L409" s="142" t="s">
        <v>960</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25">
      <c r="F410" s="257"/>
      <c r="H410" s="240"/>
      <c r="J410" s="251"/>
      <c r="K410" s="142" t="s">
        <v>1005</v>
      </c>
      <c r="L410" s="142" t="s">
        <v>962</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25">
      <c r="F411" s="257"/>
      <c r="H411" s="240"/>
      <c r="J411" s="251"/>
      <c r="K411" s="142" t="s">
        <v>1006</v>
      </c>
      <c r="L411" s="142" t="s">
        <v>962</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25">
      <c r="F412" s="257"/>
      <c r="H412" s="240"/>
      <c r="J412" s="251"/>
      <c r="K412" s="142" t="s">
        <v>1007</v>
      </c>
      <c r="L412" s="142" t="s">
        <v>962</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25">
      <c r="F413" s="257"/>
      <c r="H413" s="240"/>
      <c r="J413" s="251"/>
      <c r="K413" s="142" t="s">
        <v>1005</v>
      </c>
      <c r="L413" s="142" t="s">
        <v>963</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25">
      <c r="F414" s="257"/>
      <c r="H414" s="240"/>
      <c r="J414" s="251"/>
      <c r="K414" s="142" t="s">
        <v>1006</v>
      </c>
      <c r="L414" s="142" t="s">
        <v>963</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25">
      <c r="F415" s="257"/>
      <c r="H415" s="240"/>
      <c r="J415" s="251"/>
      <c r="K415" s="142" t="s">
        <v>1007</v>
      </c>
      <c r="L415" s="142" t="s">
        <v>963</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25">
      <c r="F416" s="257"/>
      <c r="H416" s="240"/>
      <c r="J416" s="251"/>
      <c r="K416" s="142" t="s">
        <v>1005</v>
      </c>
      <c r="L416" s="142" t="s">
        <v>964</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25">
      <c r="F417" s="257"/>
      <c r="H417" s="240"/>
      <c r="J417" s="251"/>
      <c r="K417" s="142" t="s">
        <v>1006</v>
      </c>
      <c r="L417" s="142" t="s">
        <v>964</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2">
      <c r="F418" s="257"/>
      <c r="H418" s="240"/>
      <c r="J418" s="251"/>
      <c r="K418" s="142" t="s">
        <v>1007</v>
      </c>
      <c r="L418" s="142" t="s">
        <v>964</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2">
      <c r="C420" s="143" t="s">
        <v>892</v>
      </c>
      <c r="G420" s="379" t="s">
        <v>1008</v>
      </c>
      <c r="H420" s="380"/>
      <c r="I420" s="380"/>
      <c r="J420" s="380"/>
      <c r="K420" s="380"/>
      <c r="L420" s="380"/>
      <c r="M420" s="380"/>
      <c r="N420" s="380"/>
      <c r="O420" s="380"/>
      <c r="P420" s="380"/>
      <c r="Q420" s="380"/>
      <c r="R420" s="380"/>
      <c r="S420" s="380"/>
      <c r="T420" s="380"/>
      <c r="U420" s="380"/>
      <c r="V420" s="144"/>
      <c r="W420" s="144"/>
      <c r="X420" s="144"/>
      <c r="Y420" s="144"/>
      <c r="Z420" s="144"/>
      <c r="AA420" s="144"/>
      <c r="AB420" s="144"/>
    </row>
    <row r="422" spans="3:42" ht="14.25" customHeight="1" x14ac:dyDescent="0.2">
      <c r="H422" s="451" t="s">
        <v>1009</v>
      </c>
      <c r="I422" s="452"/>
      <c r="J422" s="452"/>
      <c r="K422" s="452"/>
      <c r="L422" s="452"/>
      <c r="M422" s="452"/>
      <c r="N422" s="453" t="s">
        <v>1010</v>
      </c>
      <c r="O422" s="454"/>
      <c r="P422" s="454"/>
      <c r="Q422" s="454"/>
      <c r="R422" s="455"/>
      <c r="S422" s="260" t="s">
        <v>1011</v>
      </c>
      <c r="T422" s="260" t="s">
        <v>1012</v>
      </c>
      <c r="U422" s="261"/>
      <c r="V422" s="261"/>
      <c r="W422" s="261"/>
      <c r="X422" s="261"/>
      <c r="Y422" s="261"/>
      <c r="Z422" s="261"/>
      <c r="AA422" s="261"/>
      <c r="AB422" s="262"/>
    </row>
    <row r="423" spans="3:42" ht="14.25" customHeight="1" x14ac:dyDescent="0.25">
      <c r="H423" s="447" t="s">
        <v>1013</v>
      </c>
      <c r="I423" s="353"/>
      <c r="J423" s="353"/>
      <c r="K423" s="353"/>
      <c r="L423" s="353"/>
      <c r="M423" s="353"/>
      <c r="N423" s="450" t="s">
        <v>1014</v>
      </c>
      <c r="O423" s="368"/>
      <c r="P423" s="368"/>
      <c r="Q423" s="368"/>
      <c r="R423" s="368"/>
      <c r="S423" s="264"/>
      <c r="T423" s="264"/>
      <c r="U423" s="265"/>
      <c r="V423" s="265"/>
      <c r="W423" s="265"/>
      <c r="X423" s="265"/>
      <c r="Y423" s="265"/>
      <c r="Z423" s="265"/>
      <c r="AA423" s="265"/>
      <c r="AB423" s="266"/>
    </row>
    <row r="424" spans="3:42" ht="14.25" customHeight="1" x14ac:dyDescent="0.25">
      <c r="H424" s="447" t="s">
        <v>978</v>
      </c>
      <c r="I424" s="353"/>
      <c r="J424" s="353"/>
      <c r="K424" s="353"/>
      <c r="L424" s="353"/>
      <c r="M424" s="353"/>
      <c r="N424" s="450" t="s">
        <v>1015</v>
      </c>
      <c r="O424" s="368"/>
      <c r="P424" s="368"/>
      <c r="Q424" s="368"/>
      <c r="R424" s="368"/>
      <c r="S424" s="264"/>
      <c r="T424" s="264"/>
      <c r="U424" s="265"/>
      <c r="V424" s="265"/>
      <c r="W424" s="265"/>
      <c r="X424" s="265"/>
      <c r="Y424" s="265"/>
      <c r="Z424" s="265"/>
      <c r="AA424" s="265"/>
      <c r="AB424" s="266"/>
    </row>
    <row r="425" spans="3:42" ht="14.25" customHeight="1" x14ac:dyDescent="0.25">
      <c r="H425" s="447" t="s">
        <v>982</v>
      </c>
      <c r="I425" s="353"/>
      <c r="J425" s="353"/>
      <c r="K425" s="353"/>
      <c r="L425" s="353"/>
      <c r="M425" s="353"/>
      <c r="N425" s="450" t="s">
        <v>1016</v>
      </c>
      <c r="O425" s="368"/>
      <c r="P425" s="368"/>
      <c r="Q425" s="368"/>
      <c r="R425" s="368"/>
      <c r="S425" s="264"/>
      <c r="T425" s="264"/>
      <c r="U425" s="265"/>
      <c r="V425" s="265"/>
      <c r="W425" s="265"/>
      <c r="X425" s="265"/>
      <c r="Y425" s="265"/>
      <c r="Z425" s="265"/>
      <c r="AA425" s="265"/>
      <c r="AB425" s="266"/>
    </row>
    <row r="426" spans="3:42" ht="14.25" customHeight="1" x14ac:dyDescent="0.25">
      <c r="H426" s="447" t="s">
        <v>1017</v>
      </c>
      <c r="I426" s="353"/>
      <c r="J426" s="353"/>
      <c r="K426" s="353"/>
      <c r="L426" s="353"/>
      <c r="M426" s="353"/>
      <c r="N426" s="450" t="s">
        <v>1016</v>
      </c>
      <c r="O426" s="368"/>
      <c r="P426" s="368"/>
      <c r="Q426" s="368"/>
      <c r="R426" s="368"/>
      <c r="S426" s="267"/>
      <c r="T426" s="267"/>
      <c r="U426"/>
      <c r="V426"/>
      <c r="W426"/>
      <c r="X426"/>
      <c r="Y426"/>
      <c r="Z426"/>
      <c r="AA426"/>
      <c r="AB426"/>
    </row>
    <row r="427" spans="3:42" ht="14.25" customHeight="1" x14ac:dyDescent="0.2">
      <c r="H427" s="447" t="s">
        <v>1018</v>
      </c>
      <c r="I427" s="353"/>
      <c r="J427" s="353"/>
      <c r="K427" s="353"/>
      <c r="L427" s="353"/>
      <c r="M427" s="353"/>
      <c r="N427" s="448" t="s">
        <v>1019</v>
      </c>
      <c r="O427" s="449"/>
      <c r="P427" s="449"/>
      <c r="Q427" s="449"/>
      <c r="R427" s="449"/>
      <c r="S427" s="268"/>
      <c r="T427" s="268"/>
      <c r="U427" s="261"/>
      <c r="V427" s="261"/>
      <c r="W427" s="261"/>
      <c r="X427" s="261"/>
      <c r="Y427" s="261"/>
      <c r="Z427" s="261"/>
      <c r="AA427" s="261"/>
      <c r="AB427" s="262"/>
    </row>
    <row r="428" spans="3:42" ht="14.25" customHeight="1" x14ac:dyDescent="0.2">
      <c r="H428" s="447" t="s">
        <v>1020</v>
      </c>
      <c r="I428" s="353"/>
      <c r="J428" s="353"/>
      <c r="K428" s="353"/>
      <c r="L428" s="353"/>
      <c r="M428" s="353"/>
      <c r="N428" s="448" t="s">
        <v>1019</v>
      </c>
      <c r="O428" s="449"/>
      <c r="P428" s="449"/>
      <c r="Q428" s="449"/>
      <c r="R428" s="449"/>
      <c r="S428" s="268"/>
      <c r="T428" s="268"/>
      <c r="U428" s="261"/>
      <c r="V428" s="261"/>
      <c r="W428" s="261"/>
      <c r="X428" s="261"/>
      <c r="Y428" s="261"/>
      <c r="Z428" s="261"/>
      <c r="AA428" s="261"/>
      <c r="AB428" s="262"/>
    </row>
    <row r="429" spans="3:42" ht="14.25" customHeight="1" x14ac:dyDescent="0.2">
      <c r="H429" s="456"/>
      <c r="I429" s="456"/>
      <c r="J429" s="456"/>
      <c r="K429" s="456"/>
      <c r="L429" s="456"/>
      <c r="M429" s="456"/>
      <c r="O429" s="261"/>
      <c r="P429" s="261"/>
      <c r="Q429" s="261"/>
      <c r="R429" s="261"/>
      <c r="S429" s="261"/>
      <c r="T429" s="261"/>
      <c r="U429" s="261"/>
      <c r="V429" s="261"/>
      <c r="W429" s="261"/>
      <c r="X429" s="261"/>
      <c r="Y429" s="261"/>
      <c r="Z429" s="261"/>
      <c r="AA429" s="261"/>
      <c r="AB429" s="262"/>
    </row>
    <row r="430" spans="3:42" ht="14.25" customHeight="1" x14ac:dyDescent="0.2">
      <c r="H430" s="451" t="s">
        <v>1021</v>
      </c>
      <c r="I430" s="452"/>
      <c r="J430" s="452"/>
      <c r="K430" s="452"/>
      <c r="L430" s="452"/>
      <c r="M430" s="452"/>
      <c r="N430" s="453" t="s">
        <v>1010</v>
      </c>
      <c r="O430" s="454"/>
      <c r="P430" s="454"/>
      <c r="Q430" s="454"/>
      <c r="R430" s="455"/>
      <c r="S430" s="260" t="s">
        <v>1011</v>
      </c>
      <c r="T430" s="260" t="s">
        <v>1012</v>
      </c>
      <c r="U430" s="261"/>
      <c r="V430" s="261"/>
      <c r="W430" s="261"/>
      <c r="X430" s="261"/>
      <c r="Y430" s="261"/>
      <c r="Z430" s="261"/>
      <c r="AA430" s="261"/>
      <c r="AB430" s="262"/>
    </row>
    <row r="431" spans="3:42" ht="14.25" customHeight="1" x14ac:dyDescent="0.25">
      <c r="H431" s="447" t="s">
        <v>978</v>
      </c>
      <c r="I431" s="353"/>
      <c r="J431" s="353"/>
      <c r="K431" s="353"/>
      <c r="L431" s="353"/>
      <c r="M431" s="354"/>
      <c r="N431" s="450" t="s">
        <v>1015</v>
      </c>
      <c r="O431" s="368"/>
      <c r="P431" s="368"/>
      <c r="Q431" s="368"/>
      <c r="R431" s="368"/>
      <c r="S431" s="264"/>
      <c r="T431" s="264"/>
      <c r="U431" s="265"/>
      <c r="V431" s="265"/>
      <c r="W431" s="265"/>
      <c r="X431" s="265"/>
      <c r="Y431" s="265"/>
      <c r="Z431" s="265"/>
      <c r="AA431" s="265"/>
      <c r="AB431" s="266"/>
    </row>
    <row r="432" spans="3:42" ht="14.25" customHeight="1" x14ac:dyDescent="0.25">
      <c r="H432" s="447" t="s">
        <v>982</v>
      </c>
      <c r="I432" s="353"/>
      <c r="J432" s="353"/>
      <c r="K432" s="353"/>
      <c r="L432" s="353"/>
      <c r="M432" s="354"/>
      <c r="N432" s="263" t="s">
        <v>1022</v>
      </c>
      <c r="Q432" s="269" t="s">
        <v>1023</v>
      </c>
      <c r="R432" s="261"/>
      <c r="S432" s="268"/>
      <c r="T432" s="268"/>
      <c r="U432" s="261"/>
      <c r="V432" s="261"/>
      <c r="W432" s="261"/>
      <c r="X432" s="261"/>
      <c r="Y432" s="261"/>
      <c r="Z432" s="261"/>
      <c r="AA432" s="261"/>
      <c r="AB432" s="262"/>
    </row>
    <row r="433" spans="8:28" ht="14.25" customHeight="1" x14ac:dyDescent="0.25">
      <c r="H433" s="364" t="s">
        <v>1024</v>
      </c>
      <c r="I433" s="365"/>
      <c r="J433" s="365"/>
      <c r="K433" s="365"/>
      <c r="L433" s="365"/>
      <c r="M433" s="366"/>
      <c r="N433" s="270"/>
      <c r="O433" s="271"/>
      <c r="P433" s="271"/>
      <c r="Q433" s="261"/>
      <c r="R433" s="262"/>
      <c r="S433" s="261"/>
      <c r="T433" s="268"/>
      <c r="U433" s="261"/>
      <c r="V433" s="261"/>
      <c r="W433" s="261"/>
      <c r="X433" s="261"/>
      <c r="Y433" s="261"/>
      <c r="Z433" s="261"/>
      <c r="AA433" s="261"/>
      <c r="AB433" s="262"/>
    </row>
    <row r="434" spans="8:28" ht="14.25" customHeight="1" x14ac:dyDescent="0.25">
      <c r="H434" s="447" t="s">
        <v>1017</v>
      </c>
      <c r="I434" s="353"/>
      <c r="J434" s="353"/>
      <c r="K434" s="353"/>
      <c r="L434" s="353"/>
      <c r="M434" s="354"/>
      <c r="N434" s="450" t="s">
        <v>1025</v>
      </c>
      <c r="O434" s="368"/>
      <c r="P434" s="368"/>
      <c r="Q434" s="368"/>
      <c r="R434" s="368"/>
      <c r="S434" s="264"/>
      <c r="T434" s="264"/>
      <c r="U434" s="265"/>
      <c r="V434" s="265"/>
      <c r="W434" s="265"/>
      <c r="X434" s="265"/>
      <c r="Y434" s="265"/>
      <c r="Z434" s="265"/>
      <c r="AA434" s="265"/>
      <c r="AB434" s="266"/>
    </row>
    <row r="435" spans="8:28" ht="14.25" customHeight="1" x14ac:dyDescent="0.2">
      <c r="H435" s="447" t="s">
        <v>1018</v>
      </c>
      <c r="I435" s="353"/>
      <c r="J435" s="353"/>
      <c r="K435" s="353"/>
      <c r="L435" s="353"/>
      <c r="M435" s="354"/>
      <c r="N435" s="448" t="s">
        <v>1019</v>
      </c>
      <c r="O435" s="449"/>
      <c r="P435" s="449"/>
      <c r="Q435" s="449"/>
      <c r="R435" s="449"/>
      <c r="S435" s="268"/>
      <c r="T435" s="268"/>
      <c r="U435" s="261"/>
      <c r="V435" s="261"/>
      <c r="W435" s="261"/>
      <c r="X435" s="261"/>
      <c r="Y435" s="261"/>
      <c r="Z435" s="261"/>
      <c r="AA435" s="261"/>
      <c r="AB435" s="262"/>
    </row>
    <row r="436" spans="8:28" ht="14.25" customHeight="1" x14ac:dyDescent="0.2">
      <c r="H436" s="447" t="s">
        <v>1026</v>
      </c>
      <c r="I436" s="353"/>
      <c r="J436" s="353"/>
      <c r="K436" s="353"/>
      <c r="L436" s="353"/>
      <c r="M436" s="354"/>
      <c r="N436" s="448" t="s">
        <v>1019</v>
      </c>
      <c r="O436" s="449"/>
      <c r="P436" s="449"/>
      <c r="Q436" s="449"/>
      <c r="R436" s="449"/>
      <c r="S436" s="268"/>
      <c r="T436" s="268"/>
      <c r="U436" s="261"/>
      <c r="V436" s="261"/>
      <c r="W436" s="261"/>
      <c r="X436" s="261"/>
      <c r="Y436" s="261"/>
      <c r="Z436" s="261"/>
      <c r="AA436" s="261"/>
      <c r="AB436" s="262"/>
    </row>
    <row r="437" spans="8:28" ht="14.25" customHeight="1" x14ac:dyDescent="0.2">
      <c r="H437" s="447" t="s">
        <v>1020</v>
      </c>
      <c r="I437" s="353"/>
      <c r="J437" s="353"/>
      <c r="K437" s="353"/>
      <c r="L437" s="353"/>
      <c r="M437" s="354"/>
      <c r="N437" s="448" t="s">
        <v>1019</v>
      </c>
      <c r="O437" s="449"/>
      <c r="P437" s="449"/>
      <c r="Q437" s="449"/>
      <c r="R437" s="449"/>
      <c r="S437" s="268"/>
      <c r="T437" s="268"/>
      <c r="U437" s="261"/>
      <c r="V437" s="261"/>
      <c r="W437" s="261"/>
      <c r="X437" s="261"/>
      <c r="Y437" s="261"/>
      <c r="Z437" s="261"/>
      <c r="AA437" s="261"/>
      <c r="AB437" s="262"/>
    </row>
    <row r="438" spans="8:28" ht="14.25" customHeight="1" x14ac:dyDescent="0.2">
      <c r="H438" s="137" t="s">
        <v>1027</v>
      </c>
    </row>
  </sheetData>
  <mergeCells count="59">
    <mergeCell ref="U4:U5"/>
    <mergeCell ref="G7:X7"/>
    <mergeCell ref="H9:H25"/>
    <mergeCell ref="J9:L9"/>
    <mergeCell ref="M9:P9"/>
    <mergeCell ref="J13:J25"/>
    <mergeCell ref="H28:H70"/>
    <mergeCell ref="J28:O28"/>
    <mergeCell ref="J31:N31"/>
    <mergeCell ref="L33:L34"/>
    <mergeCell ref="M33:M34"/>
    <mergeCell ref="J41:J68"/>
    <mergeCell ref="G73:U73"/>
    <mergeCell ref="H76:H297"/>
    <mergeCell ref="J76:J105"/>
    <mergeCell ref="J108:J137"/>
    <mergeCell ref="J140:J169"/>
    <mergeCell ref="J172:J201"/>
    <mergeCell ref="J204:J233"/>
    <mergeCell ref="J236:J265"/>
    <mergeCell ref="J268:J297"/>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31:M431"/>
    <mergeCell ref="N431:R431"/>
    <mergeCell ref="H432:M432"/>
    <mergeCell ref="H433:M433"/>
    <mergeCell ref="H434:M434"/>
    <mergeCell ref="N434:R434"/>
    <mergeCell ref="H435:M435"/>
    <mergeCell ref="N435:R435"/>
    <mergeCell ref="H436:M436"/>
    <mergeCell ref="N436:R436"/>
    <mergeCell ref="H437:M437"/>
    <mergeCell ref="N437:R437"/>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8" sqref="C8"/>
    </sheetView>
  </sheetViews>
  <sheetFormatPr defaultColWidth="9.140625" defaultRowHeight="15" x14ac:dyDescent="0.25"/>
  <cols>
    <col min="1" max="1" width="54" bestFit="1" customWidth="1"/>
    <col min="2" max="2" width="45.85546875" customWidth="1"/>
    <col min="3" max="3" width="89.140625" customWidth="1"/>
    <col min="4" max="4" width="17.42578125" customWidth="1"/>
    <col min="5" max="5" width="21.5703125" bestFit="1" customWidth="1"/>
    <col min="7" max="7" width="10.140625" bestFit="1" customWidth="1"/>
    <col min="8" max="9" width="10" bestFit="1" customWidth="1"/>
    <col min="10" max="10" width="10.140625" bestFit="1" customWidth="1"/>
    <col min="11" max="11" width="10" bestFit="1" customWidth="1"/>
    <col min="15" max="15" width="11" bestFit="1" customWidth="1"/>
  </cols>
  <sheetData>
    <row r="1" spans="1:24" s="1" customFormat="1" x14ac:dyDescent="0.2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2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2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2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2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2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2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2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2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2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2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2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2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2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2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2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2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2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2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109375" defaultRowHeight="12" x14ac:dyDescent="0.2"/>
  <cols>
    <col min="1" max="1" width="21.2851562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318</v>
      </c>
      <c r="B10" s="54" t="s">
        <v>43</v>
      </c>
      <c r="AG10" s="51" t="s">
        <v>617</v>
      </c>
    </row>
    <row r="11" spans="1:33" ht="15" customHeight="1" x14ac:dyDescent="0.2">
      <c r="B11" s="53" t="s">
        <v>44</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2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2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2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2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2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2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2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2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2">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2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2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2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2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5" x14ac:dyDescent="0.2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2">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5" x14ac:dyDescent="0.25">
      <c r="B33"/>
      <c r="C33"/>
      <c r="D33"/>
      <c r="E33"/>
      <c r="F33"/>
      <c r="G33"/>
      <c r="H33"/>
      <c r="I33"/>
      <c r="J33"/>
      <c r="K33"/>
      <c r="L33"/>
      <c r="M33"/>
      <c r="N33"/>
      <c r="O33"/>
      <c r="P33"/>
      <c r="Q33"/>
      <c r="R33"/>
      <c r="S33"/>
      <c r="T33"/>
      <c r="U33"/>
      <c r="V33"/>
      <c r="W33"/>
      <c r="X33"/>
      <c r="Y33"/>
      <c r="Z33"/>
      <c r="AA33"/>
      <c r="AB33"/>
      <c r="AC33"/>
      <c r="AD33"/>
      <c r="AE33"/>
      <c r="AF33"/>
      <c r="AG33"/>
    </row>
    <row r="34" spans="1:33" ht="15" x14ac:dyDescent="0.25">
      <c r="B34" s="46" t="s">
        <v>59</v>
      </c>
      <c r="C34"/>
      <c r="D34"/>
      <c r="E34"/>
      <c r="F34"/>
      <c r="G34"/>
      <c r="H34"/>
      <c r="I34"/>
      <c r="J34"/>
      <c r="K34"/>
      <c r="L34"/>
      <c r="M34"/>
      <c r="N34"/>
      <c r="O34"/>
      <c r="P34"/>
      <c r="Q34"/>
      <c r="R34"/>
      <c r="S34"/>
      <c r="T34"/>
      <c r="U34"/>
      <c r="V34"/>
      <c r="W34"/>
      <c r="X34"/>
      <c r="Y34"/>
      <c r="Z34"/>
      <c r="AA34"/>
      <c r="AB34"/>
      <c r="AC34"/>
      <c r="AD34"/>
      <c r="AE34"/>
      <c r="AF34"/>
      <c r="AG34"/>
    </row>
    <row r="35" spans="1:33" ht="15" x14ac:dyDescent="0.2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5" x14ac:dyDescent="0.2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5" x14ac:dyDescent="0.2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2">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5" x14ac:dyDescent="0.25">
      <c r="B39"/>
      <c r="C39"/>
      <c r="D39"/>
      <c r="E39"/>
      <c r="F39"/>
      <c r="G39"/>
      <c r="H39"/>
      <c r="I39"/>
      <c r="J39"/>
      <c r="K39"/>
      <c r="L39"/>
      <c r="M39"/>
      <c r="N39"/>
      <c r="O39"/>
      <c r="P39"/>
      <c r="Q39"/>
      <c r="R39"/>
      <c r="S39"/>
      <c r="T39"/>
      <c r="U39"/>
      <c r="V39"/>
      <c r="W39"/>
      <c r="X39"/>
      <c r="Y39"/>
      <c r="Z39"/>
      <c r="AA39"/>
      <c r="AB39"/>
      <c r="AC39"/>
      <c r="AD39"/>
      <c r="AE39"/>
      <c r="AF39"/>
      <c r="AG39"/>
    </row>
    <row r="40" spans="1:33" x14ac:dyDescent="0.2">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5" x14ac:dyDescent="0.25">
      <c r="B41"/>
      <c r="C41"/>
      <c r="D41"/>
      <c r="E41"/>
      <c r="F41"/>
      <c r="G41"/>
      <c r="H41"/>
      <c r="I41"/>
      <c r="J41"/>
      <c r="K41"/>
      <c r="L41"/>
      <c r="M41"/>
      <c r="N41"/>
      <c r="O41"/>
      <c r="P41"/>
      <c r="Q41"/>
      <c r="R41"/>
      <c r="S41"/>
      <c r="T41"/>
      <c r="U41"/>
      <c r="V41"/>
      <c r="W41"/>
      <c r="X41"/>
      <c r="Y41"/>
      <c r="Z41"/>
      <c r="AA41"/>
      <c r="AB41"/>
      <c r="AC41"/>
      <c r="AD41"/>
      <c r="AE41"/>
      <c r="AF41"/>
      <c r="AG41"/>
    </row>
    <row r="42" spans="1:33" ht="15" x14ac:dyDescent="0.25">
      <c r="B42" s="46" t="s">
        <v>61</v>
      </c>
      <c r="C42"/>
      <c r="D42"/>
      <c r="E42"/>
      <c r="F42"/>
      <c r="G42"/>
      <c r="H42"/>
      <c r="I42"/>
      <c r="J42"/>
      <c r="K42"/>
      <c r="L42"/>
      <c r="M42"/>
      <c r="N42"/>
      <c r="O42"/>
      <c r="P42"/>
      <c r="Q42"/>
      <c r="R42"/>
      <c r="S42"/>
      <c r="T42"/>
      <c r="U42"/>
      <c r="V42"/>
      <c r="W42"/>
      <c r="X42"/>
      <c r="Y42"/>
      <c r="Z42"/>
      <c r="AA42"/>
      <c r="AB42"/>
      <c r="AC42"/>
      <c r="AD42"/>
      <c r="AE42"/>
      <c r="AF42"/>
      <c r="AG42"/>
    </row>
    <row r="43" spans="1:33" ht="15" x14ac:dyDescent="0.2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5" x14ac:dyDescent="0.2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5" x14ac:dyDescent="0.2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5" x14ac:dyDescent="0.2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5" x14ac:dyDescent="0.2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5" x14ac:dyDescent="0.2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5" x14ac:dyDescent="0.2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2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2">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2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2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2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2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2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2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2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5" x14ac:dyDescent="0.2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2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2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2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2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25"/>
    <row r="72" spans="1:33" ht="15" customHeight="1" x14ac:dyDescent="0.2">
      <c r="B72" s="39" t="s">
        <v>556</v>
      </c>
    </row>
    <row r="73" spans="1:33" x14ac:dyDescent="0.2">
      <c r="B73" s="38" t="s">
        <v>538</v>
      </c>
    </row>
    <row r="74" spans="1:33" ht="15" customHeight="1" x14ac:dyDescent="0.2">
      <c r="B74" s="38" t="s">
        <v>68</v>
      </c>
    </row>
    <row r="75" spans="1:33" ht="15" customHeight="1" x14ac:dyDescent="0.2">
      <c r="B75" s="38" t="s">
        <v>610</v>
      </c>
    </row>
    <row r="76" spans="1:33" ht="15" customHeight="1" x14ac:dyDescent="0.2">
      <c r="B76" s="38" t="s">
        <v>69</v>
      </c>
    </row>
    <row r="77" spans="1:33" ht="15" customHeight="1" x14ac:dyDescent="0.2">
      <c r="B77" s="38" t="s">
        <v>540</v>
      </c>
    </row>
    <row r="78" spans="1:33" ht="15" customHeight="1" x14ac:dyDescent="0.2">
      <c r="B78" s="38" t="s">
        <v>609</v>
      </c>
    </row>
    <row r="79" spans="1:33" x14ac:dyDescent="0.2">
      <c r="B79" s="38" t="s">
        <v>71</v>
      </c>
    </row>
    <row r="80" spans="1:33" ht="15" customHeight="1" x14ac:dyDescent="0.2">
      <c r="B80" s="38" t="s">
        <v>541</v>
      </c>
    </row>
    <row r="81" spans="2:2" x14ac:dyDescent="0.2">
      <c r="B81" s="38" t="s">
        <v>542</v>
      </c>
    </row>
    <row r="82" spans="2:2" ht="15" customHeight="1" x14ac:dyDescent="0.2">
      <c r="B82" s="38" t="s">
        <v>543</v>
      </c>
    </row>
    <row r="83" spans="2:2" ht="15" customHeight="1" x14ac:dyDescent="0.2">
      <c r="B83" s="38" t="s">
        <v>544</v>
      </c>
    </row>
    <row r="84" spans="2:2" ht="15" customHeight="1" x14ac:dyDescent="0.2">
      <c r="B84" s="38" t="s">
        <v>545</v>
      </c>
    </row>
    <row r="85" spans="2:2" ht="15" customHeight="1" x14ac:dyDescent="0.2">
      <c r="B85" s="38" t="s">
        <v>546</v>
      </c>
    </row>
    <row r="86" spans="2:2" ht="15" customHeight="1" x14ac:dyDescent="0.2">
      <c r="B86" s="38" t="s">
        <v>192</v>
      </c>
    </row>
    <row r="87" spans="2:2" ht="15" customHeight="1" x14ac:dyDescent="0.2">
      <c r="B87" s="38" t="s">
        <v>72</v>
      </c>
    </row>
    <row r="88" spans="2:2" ht="15" customHeight="1" x14ac:dyDescent="0.2">
      <c r="B88" s="38" t="s">
        <v>547</v>
      </c>
    </row>
    <row r="89" spans="2:2" ht="15" customHeight="1" x14ac:dyDescent="0.2">
      <c r="B89" s="38" t="s">
        <v>608</v>
      </c>
    </row>
    <row r="90" spans="2:2" ht="15" customHeight="1" x14ac:dyDescent="0.2">
      <c r="B90" s="38" t="s">
        <v>73</v>
      </c>
    </row>
    <row r="91" spans="2:2" ht="15" customHeight="1" x14ac:dyDescent="0.2">
      <c r="B91" s="38" t="s">
        <v>549</v>
      </c>
    </row>
    <row r="92" spans="2:2" x14ac:dyDescent="0.2">
      <c r="B92" s="38" t="s">
        <v>550</v>
      </c>
    </row>
    <row r="93" spans="2:2" ht="15" customHeight="1" x14ac:dyDescent="0.2">
      <c r="B93" s="38" t="s">
        <v>74</v>
      </c>
    </row>
    <row r="94" spans="2:2" ht="15" customHeight="1" x14ac:dyDescent="0.2">
      <c r="B94" s="38" t="s">
        <v>551</v>
      </c>
    </row>
    <row r="95" spans="2:2" ht="15" customHeight="1" x14ac:dyDescent="0.2">
      <c r="B95" s="38" t="s">
        <v>552</v>
      </c>
    </row>
    <row r="96" spans="2:2" ht="15" customHeight="1" x14ac:dyDescent="0.2">
      <c r="B96" s="38" t="s">
        <v>553</v>
      </c>
    </row>
    <row r="97" spans="2:33" ht="15" customHeight="1" x14ac:dyDescent="0.2">
      <c r="B97" s="38" t="s">
        <v>554</v>
      </c>
    </row>
    <row r="98" spans="2:33" ht="15" customHeight="1" x14ac:dyDescent="0.2">
      <c r="B98" s="38" t="s">
        <v>555</v>
      </c>
    </row>
    <row r="99" spans="2:33" ht="15" customHeight="1" x14ac:dyDescent="0.2">
      <c r="B99" s="38" t="s">
        <v>607</v>
      </c>
    </row>
    <row r="100" spans="2:33" ht="15" customHeight="1" x14ac:dyDescent="0.2">
      <c r="B100" s="38" t="s">
        <v>606</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2">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2">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2">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2">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2">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2">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2">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2">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2">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2">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2">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2">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 x14ac:dyDescent="0.2">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 x14ac:dyDescent="0.2">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 x14ac:dyDescent="0.2">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 x14ac:dyDescent="0.2">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 x14ac:dyDescent="0.2">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 x14ac:dyDescent="0.2">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 x14ac:dyDescent="0.2">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 x14ac:dyDescent="0.2">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 x14ac:dyDescent="0.2">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 x14ac:dyDescent="0.2">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 x14ac:dyDescent="0.2">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 x14ac:dyDescent="0.2">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 x14ac:dyDescent="0.2">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 x14ac:dyDescent="0.2">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2">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2">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2">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2">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2">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2">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2">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2">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2">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 x14ac:dyDescent="0.2">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2">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2">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2">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2">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 x14ac:dyDescent="0.2">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373</v>
      </c>
      <c r="B10" s="54" t="s">
        <v>117</v>
      </c>
      <c r="AG10" s="51" t="s">
        <v>617</v>
      </c>
    </row>
    <row r="11" spans="1:33" ht="15" customHeight="1" x14ac:dyDescent="0.2">
      <c r="B11" s="53" t="s">
        <v>118</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
      <c r="B15" s="46" t="s">
        <v>120</v>
      </c>
    </row>
    <row r="16" spans="1:33" ht="15" customHeight="1" x14ac:dyDescent="0.2"/>
    <row r="17" spans="1:33" ht="15" customHeight="1" x14ac:dyDescent="0.2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2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2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2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2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2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2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2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2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2">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2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2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2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5" x14ac:dyDescent="0.2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5" x14ac:dyDescent="0.2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2">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2">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5" x14ac:dyDescent="0.2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5" x14ac:dyDescent="0.25">
      <c r="B36"/>
      <c r="C36"/>
      <c r="D36"/>
      <c r="E36"/>
      <c r="F36"/>
      <c r="G36"/>
      <c r="H36"/>
      <c r="I36"/>
      <c r="J36"/>
      <c r="K36"/>
      <c r="L36"/>
      <c r="M36"/>
      <c r="N36"/>
      <c r="O36"/>
      <c r="P36"/>
      <c r="Q36"/>
      <c r="R36"/>
      <c r="S36"/>
      <c r="T36"/>
      <c r="U36"/>
      <c r="V36"/>
      <c r="W36"/>
      <c r="X36"/>
      <c r="Y36"/>
      <c r="Z36"/>
      <c r="AA36"/>
      <c r="AB36"/>
      <c r="AC36"/>
      <c r="AD36"/>
      <c r="AE36"/>
      <c r="AF36"/>
      <c r="AG36"/>
    </row>
    <row r="37" spans="1:33" x14ac:dyDescent="0.2">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5" x14ac:dyDescent="0.25">
      <c r="B38"/>
      <c r="C38"/>
      <c r="D38"/>
      <c r="E38"/>
      <c r="F38"/>
      <c r="G38"/>
      <c r="H38"/>
      <c r="I38"/>
      <c r="J38"/>
      <c r="K38"/>
      <c r="L38"/>
      <c r="M38"/>
      <c r="N38"/>
      <c r="O38"/>
      <c r="P38"/>
      <c r="Q38"/>
      <c r="R38"/>
      <c r="S38"/>
      <c r="T38"/>
      <c r="U38"/>
      <c r="V38"/>
      <c r="W38"/>
      <c r="X38"/>
      <c r="Y38"/>
      <c r="Z38"/>
      <c r="AA38"/>
      <c r="AB38"/>
      <c r="AC38"/>
      <c r="AD38"/>
      <c r="AE38"/>
      <c r="AF38"/>
      <c r="AG38"/>
    </row>
    <row r="39" spans="1:33" ht="15" x14ac:dyDescent="0.25">
      <c r="B39" s="46" t="s">
        <v>135</v>
      </c>
      <c r="C39"/>
      <c r="D39"/>
      <c r="E39"/>
      <c r="F39"/>
      <c r="G39"/>
      <c r="H39"/>
      <c r="I39"/>
      <c r="J39"/>
      <c r="K39"/>
      <c r="L39"/>
      <c r="M39"/>
      <c r="N39"/>
      <c r="O39"/>
      <c r="P39"/>
      <c r="Q39"/>
      <c r="R39"/>
      <c r="S39"/>
      <c r="T39"/>
      <c r="U39"/>
      <c r="V39"/>
      <c r="W39"/>
      <c r="X39"/>
      <c r="Y39"/>
      <c r="Z39"/>
      <c r="AA39"/>
      <c r="AB39"/>
      <c r="AC39"/>
      <c r="AD39"/>
      <c r="AE39"/>
      <c r="AF39"/>
      <c r="AG39"/>
    </row>
    <row r="40" spans="1:33" ht="15" x14ac:dyDescent="0.2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5" x14ac:dyDescent="0.2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5" x14ac:dyDescent="0.2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5" x14ac:dyDescent="0.2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5" x14ac:dyDescent="0.2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5" x14ac:dyDescent="0.2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2">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5" x14ac:dyDescent="0.2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2">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2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2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2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2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2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2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2">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2">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2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2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2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5" x14ac:dyDescent="0.2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2">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2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2">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25">
      <c r="B72" s="46" t="s">
        <v>626</v>
      </c>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2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2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2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2">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25">
      <c r="B78" s="46" t="s">
        <v>155</v>
      </c>
      <c r="C78"/>
      <c r="D78"/>
      <c r="E78"/>
      <c r="F78"/>
      <c r="G78"/>
      <c r="H78"/>
      <c r="I78"/>
      <c r="J78"/>
      <c r="K78"/>
      <c r="L78"/>
      <c r="M78"/>
      <c r="N78"/>
      <c r="O78"/>
      <c r="P78"/>
      <c r="Q78"/>
      <c r="R78"/>
      <c r="S78"/>
      <c r="T78"/>
      <c r="U78"/>
      <c r="V78"/>
      <c r="W78"/>
      <c r="X78"/>
      <c r="Y78"/>
      <c r="Z78"/>
      <c r="AA78"/>
      <c r="AB78"/>
      <c r="AC78"/>
      <c r="AD78"/>
      <c r="AE78"/>
      <c r="AF78"/>
      <c r="AG78"/>
    </row>
    <row r="79" spans="1:33" ht="15" x14ac:dyDescent="0.2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2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5" x14ac:dyDescent="0.2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2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2">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2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2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2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2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2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2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2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2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5" x14ac:dyDescent="0.2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2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2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2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2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2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2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25"/>
    <row r="100" spans="1:33" ht="15" customHeight="1" x14ac:dyDescent="0.2">
      <c r="B100" s="39" t="s">
        <v>568</v>
      </c>
    </row>
    <row r="101" spans="1:33" x14ac:dyDescent="0.2">
      <c r="B101" s="38" t="s">
        <v>557</v>
      </c>
    </row>
    <row r="102" spans="1:33" x14ac:dyDescent="0.2">
      <c r="B102" s="38" t="s">
        <v>558</v>
      </c>
    </row>
    <row r="103" spans="1:33" ht="15" customHeight="1" x14ac:dyDescent="0.2">
      <c r="B103" s="38" t="s">
        <v>559</v>
      </c>
    </row>
    <row r="104" spans="1:33" ht="15" customHeight="1" x14ac:dyDescent="0.2">
      <c r="B104" s="38" t="s">
        <v>560</v>
      </c>
    </row>
    <row r="105" spans="1:33" ht="15" customHeight="1" x14ac:dyDescent="0.2">
      <c r="B105" s="38" t="s">
        <v>561</v>
      </c>
    </row>
    <row r="106" spans="1:33" ht="15" customHeight="1" x14ac:dyDescent="0.2">
      <c r="B106" s="38" t="s">
        <v>562</v>
      </c>
    </row>
    <row r="107" spans="1:33" ht="15" customHeight="1" x14ac:dyDescent="0.2">
      <c r="B107" s="38" t="s">
        <v>164</v>
      </c>
    </row>
    <row r="108" spans="1:33" ht="15" customHeight="1" x14ac:dyDescent="0.2">
      <c r="B108" s="38" t="s">
        <v>563</v>
      </c>
    </row>
    <row r="109" spans="1:33" ht="15" customHeight="1" x14ac:dyDescent="0.2">
      <c r="B109" s="38" t="s">
        <v>76</v>
      </c>
    </row>
    <row r="110" spans="1:33" ht="15" customHeight="1" x14ac:dyDescent="0.2">
      <c r="B110" s="38" t="s">
        <v>77</v>
      </c>
    </row>
    <row r="111" spans="1:33" ht="15" customHeight="1" x14ac:dyDescent="0.2">
      <c r="B111" s="38" t="s">
        <v>564</v>
      </c>
    </row>
    <row r="112" spans="1:33" ht="15" customHeight="1" x14ac:dyDescent="0.2">
      <c r="B112" s="475" t="s">
        <v>569</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spans="2:2" ht="15" customHeight="1" x14ac:dyDescent="0.2">
      <c r="B113" s="38" t="s">
        <v>565</v>
      </c>
    </row>
    <row r="114" spans="2:2" ht="15" customHeight="1" x14ac:dyDescent="0.2">
      <c r="B114" s="38" t="s">
        <v>566</v>
      </c>
    </row>
    <row r="115" spans="2:2" ht="15" customHeight="1" x14ac:dyDescent="0.2">
      <c r="B115" s="38" t="s">
        <v>567</v>
      </c>
    </row>
    <row r="116" spans="2:2" ht="15" customHeight="1" x14ac:dyDescent="0.2">
      <c r="B116" s="38" t="s">
        <v>165</v>
      </c>
    </row>
    <row r="117" spans="2:2" ht="15" customHeight="1" x14ac:dyDescent="0.2">
      <c r="B117" s="38" t="s">
        <v>554</v>
      </c>
    </row>
    <row r="118" spans="2:2" ht="15" customHeight="1" x14ac:dyDescent="0.2">
      <c r="B118" s="38" t="s">
        <v>555</v>
      </c>
    </row>
    <row r="119" spans="2:2" ht="15" customHeight="1" x14ac:dyDescent="0.2">
      <c r="B119" s="38" t="s">
        <v>625</v>
      </c>
    </row>
    <row r="120" spans="2:2" ht="15" customHeight="1" x14ac:dyDescent="0.2">
      <c r="B120" s="38" t="s">
        <v>624</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2">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2">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2">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2">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2">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2">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2">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2">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2">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2">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 x14ac:dyDescent="0.2">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 x14ac:dyDescent="0.2">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 x14ac:dyDescent="0.2">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 x14ac:dyDescent="0.2">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 x14ac:dyDescent="0.2">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 x14ac:dyDescent="0.2">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 x14ac:dyDescent="0.2">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 x14ac:dyDescent="0.2">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 x14ac:dyDescent="0.2">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 x14ac:dyDescent="0.2">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 x14ac:dyDescent="0.2">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 x14ac:dyDescent="0.2">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 x14ac:dyDescent="0.2">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 x14ac:dyDescent="0.2">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 x14ac:dyDescent="0.2">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 x14ac:dyDescent="0.2">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2">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2">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2">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2">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2">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2">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2">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2">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2">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2">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 x14ac:dyDescent="0.2">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2">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2">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2">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2">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2">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2">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2">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2">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2">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2">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 x14ac:dyDescent="0.2">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2">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2">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2">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2">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2">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2">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 x14ac:dyDescent="0.2">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2">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2">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2">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2">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
      <c r="B100" s="476" t="s">
        <v>652</v>
      </c>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c r="AA100" s="477"/>
      <c r="AB100" s="477"/>
      <c r="AC100" s="477"/>
      <c r="AD100" s="477"/>
      <c r="AE100" s="477"/>
      <c r="AF100" s="477"/>
      <c r="AG100" s="477"/>
      <c r="AH100" s="58"/>
    </row>
    <row r="101" spans="1:34" ht="12" x14ac:dyDescent="0.2">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
      <c r="B112" s="475"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434</v>
      </c>
      <c r="B10" s="54" t="s">
        <v>78</v>
      </c>
      <c r="AG10" s="51" t="s">
        <v>617</v>
      </c>
    </row>
    <row r="11" spans="1:33" ht="15" customHeight="1" x14ac:dyDescent="0.2">
      <c r="B11" s="53" t="s">
        <v>79</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2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2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2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2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2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2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2">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2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2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2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2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2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2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2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5" x14ac:dyDescent="0.2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5" x14ac:dyDescent="0.2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5" x14ac:dyDescent="0.2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5" x14ac:dyDescent="0.2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5" x14ac:dyDescent="0.2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5" x14ac:dyDescent="0.2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5" x14ac:dyDescent="0.2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5" x14ac:dyDescent="0.2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5" x14ac:dyDescent="0.2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5" x14ac:dyDescent="0.2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5" x14ac:dyDescent="0.2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5" x14ac:dyDescent="0.2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5" x14ac:dyDescent="0.2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5" x14ac:dyDescent="0.2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5" x14ac:dyDescent="0.2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5" x14ac:dyDescent="0.2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5" x14ac:dyDescent="0.2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5" x14ac:dyDescent="0.2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2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2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2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2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2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2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2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2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2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2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2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5" x14ac:dyDescent="0.2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2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2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2">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25">
      <c r="B72"/>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2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2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2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2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2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5" x14ac:dyDescent="0.2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2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25"/>
    <row r="83" spans="2:2" ht="15" customHeight="1" x14ac:dyDescent="0.2">
      <c r="B83" s="39" t="s">
        <v>587</v>
      </c>
    </row>
    <row r="84" spans="2:2" ht="15" customHeight="1" x14ac:dyDescent="0.2">
      <c r="B84" s="38" t="s">
        <v>570</v>
      </c>
    </row>
    <row r="85" spans="2:2" ht="15" customHeight="1" x14ac:dyDescent="0.2">
      <c r="B85" s="38" t="s">
        <v>571</v>
      </c>
    </row>
    <row r="86" spans="2:2" ht="15" customHeight="1" x14ac:dyDescent="0.2">
      <c r="B86" s="38" t="s">
        <v>572</v>
      </c>
    </row>
    <row r="87" spans="2:2" ht="15" customHeight="1" x14ac:dyDescent="0.2">
      <c r="B87" s="38" t="s">
        <v>107</v>
      </c>
    </row>
    <row r="88" spans="2:2" ht="15" customHeight="1" x14ac:dyDescent="0.2">
      <c r="B88" s="38" t="s">
        <v>573</v>
      </c>
    </row>
    <row r="89" spans="2:2" ht="15" customHeight="1" x14ac:dyDescent="0.2">
      <c r="B89" s="38" t="s">
        <v>108</v>
      </c>
    </row>
    <row r="90" spans="2:2" ht="15" customHeight="1" x14ac:dyDescent="0.2">
      <c r="B90" s="38" t="s">
        <v>574</v>
      </c>
    </row>
    <row r="91" spans="2:2" ht="15" customHeight="1" x14ac:dyDescent="0.2">
      <c r="B91" s="38" t="s">
        <v>575</v>
      </c>
    </row>
    <row r="92" spans="2:2" x14ac:dyDescent="0.2">
      <c r="B92" s="38" t="s">
        <v>219</v>
      </c>
    </row>
    <row r="93" spans="2:2" ht="15" customHeight="1" x14ac:dyDescent="0.2">
      <c r="B93" s="38" t="s">
        <v>576</v>
      </c>
    </row>
    <row r="94" spans="2:2" ht="15" customHeight="1" x14ac:dyDescent="0.2">
      <c r="B94" s="38" t="s">
        <v>577</v>
      </c>
    </row>
    <row r="95" spans="2:2" ht="15" customHeight="1" x14ac:dyDescent="0.2">
      <c r="B95" s="38" t="s">
        <v>628</v>
      </c>
    </row>
    <row r="96" spans="2:2" ht="15" customHeight="1" x14ac:dyDescent="0.2">
      <c r="B96" s="38" t="s">
        <v>493</v>
      </c>
    </row>
    <row r="97" spans="2:33" ht="15" customHeight="1" x14ac:dyDescent="0.2">
      <c r="B97" s="38" t="s">
        <v>578</v>
      </c>
    </row>
    <row r="98" spans="2:33" ht="15" customHeight="1" x14ac:dyDescent="0.2">
      <c r="B98" s="38" t="s">
        <v>579</v>
      </c>
    </row>
    <row r="99" spans="2:33" ht="15" customHeight="1" x14ac:dyDescent="0.2">
      <c r="B99" s="38" t="s">
        <v>580</v>
      </c>
    </row>
    <row r="100" spans="2:33" ht="15" customHeight="1" x14ac:dyDescent="0.2">
      <c r="B100" s="38" t="s">
        <v>499</v>
      </c>
    </row>
    <row r="101" spans="2:33" x14ac:dyDescent="0.2">
      <c r="B101" s="38" t="s">
        <v>581</v>
      </c>
    </row>
    <row r="102" spans="2:33" x14ac:dyDescent="0.2">
      <c r="B102" s="38" t="s">
        <v>582</v>
      </c>
    </row>
    <row r="103" spans="2:33" ht="15" customHeight="1" x14ac:dyDescent="0.2">
      <c r="B103" s="38" t="s">
        <v>583</v>
      </c>
    </row>
    <row r="104" spans="2:33" ht="15" customHeight="1" x14ac:dyDescent="0.2">
      <c r="B104" s="38" t="s">
        <v>584</v>
      </c>
    </row>
    <row r="105" spans="2:33" ht="15" customHeight="1" x14ac:dyDescent="0.2">
      <c r="B105" s="38" t="s">
        <v>585</v>
      </c>
    </row>
    <row r="106" spans="2:33" ht="15" customHeight="1" x14ac:dyDescent="0.2">
      <c r="B106" s="38" t="s">
        <v>586</v>
      </c>
    </row>
    <row r="107" spans="2:33" ht="15" customHeight="1" x14ac:dyDescent="0.2">
      <c r="B107" s="38" t="s">
        <v>109</v>
      </c>
    </row>
    <row r="108" spans="2:33" ht="15" customHeight="1" x14ac:dyDescent="0.2">
      <c r="B108" s="38" t="s">
        <v>554</v>
      </c>
    </row>
    <row r="109" spans="2:33" ht="15" customHeight="1" x14ac:dyDescent="0.2">
      <c r="B109" s="38" t="s">
        <v>555</v>
      </c>
    </row>
    <row r="110" spans="2:33" ht="15" customHeight="1" x14ac:dyDescent="0.2">
      <c r="B110" s="38" t="s">
        <v>627</v>
      </c>
    </row>
    <row r="111" spans="2:33" ht="15" customHeight="1" x14ac:dyDescent="0.2">
      <c r="B111" s="38" t="s">
        <v>606</v>
      </c>
    </row>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2">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2">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2">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2">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2">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2">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2">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2">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2">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2">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2">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2">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2">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 x14ac:dyDescent="0.2">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 x14ac:dyDescent="0.2">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 x14ac:dyDescent="0.2">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 x14ac:dyDescent="0.2">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 x14ac:dyDescent="0.2">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 x14ac:dyDescent="0.2">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 x14ac:dyDescent="0.2">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 x14ac:dyDescent="0.2">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 x14ac:dyDescent="0.2">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 x14ac:dyDescent="0.2">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 x14ac:dyDescent="0.2">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 x14ac:dyDescent="0.2">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 x14ac:dyDescent="0.2">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 x14ac:dyDescent="0.2">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 x14ac:dyDescent="0.2">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 x14ac:dyDescent="0.2">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 x14ac:dyDescent="0.2">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 x14ac:dyDescent="0.2">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 x14ac:dyDescent="0.2">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2">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2">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2">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2">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2">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2">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2">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2">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2">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 x14ac:dyDescent="0.2">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2">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2">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2">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2">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2">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 x14ac:dyDescent="0.2">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2">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2">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2">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2">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 x14ac:dyDescent="0.2">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2">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2">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25">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
      <c r="B84" s="476" t="s">
        <v>587</v>
      </c>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58"/>
    </row>
    <row r="85" spans="1:34" ht="15" customHeight="1" x14ac:dyDescent="0.2">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
      <c r="B112" s="475" t="s">
        <v>650</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topLeftCell="C1" zoomScale="80" zoomScaleNormal="80" workbookViewId="0">
      <selection activeCell="F26" sqref="F26:AG26"/>
    </sheetView>
  </sheetViews>
  <sheetFormatPr defaultColWidth="8.7109375" defaultRowHeight="15" x14ac:dyDescent="0.25"/>
  <cols>
    <col min="1" max="1" width="60.7109375" bestFit="1" customWidth="1"/>
    <col min="2" max="2" width="41.5703125" customWidth="1"/>
    <col min="3" max="3" width="11.7109375" bestFit="1" customWidth="1"/>
    <col min="4" max="4" width="13" bestFit="1" customWidth="1"/>
    <col min="5" max="5" width="12.140625" bestFit="1" customWidth="1"/>
    <col min="6" max="26" width="9.5703125" bestFit="1" customWidth="1"/>
    <col min="27" max="27" width="12.140625" bestFit="1" customWidth="1"/>
    <col min="28" max="36" width="9.5703125" bestFit="1" customWidth="1"/>
  </cols>
  <sheetData>
    <row r="1" spans="1:36" x14ac:dyDescent="0.2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25">
      <c r="C6" s="478" t="s">
        <v>597</v>
      </c>
      <c r="D6" s="478"/>
      <c r="E6" s="478"/>
      <c r="F6" s="478"/>
      <c r="G6" s="478"/>
      <c r="H6" s="478"/>
    </row>
    <row r="7" spans="1:36" x14ac:dyDescent="0.2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25">
      <c r="I13" s="479" t="s">
        <v>598</v>
      </c>
      <c r="J13" s="479"/>
      <c r="K13" s="479"/>
    </row>
    <row r="14" spans="1:36" x14ac:dyDescent="0.2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25">
      <c r="C20" s="35"/>
      <c r="D20" s="478" t="s">
        <v>597</v>
      </c>
      <c r="E20" s="478"/>
      <c r="F20" s="478"/>
      <c r="G20" s="478"/>
      <c r="H20" s="478"/>
      <c r="I20" s="478"/>
    </row>
    <row r="21" spans="1:35" x14ac:dyDescent="0.2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2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2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2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2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2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2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2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2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25">
      <c r="A48" s="15" t="s">
        <v>247</v>
      </c>
    </row>
    <row r="49" spans="1:35" x14ac:dyDescent="0.2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2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2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2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2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25">
      <c r="A60" s="15" t="s">
        <v>31</v>
      </c>
    </row>
    <row r="61" spans="1:35" x14ac:dyDescent="0.2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2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2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2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25">
      <c r="A66" s="15" t="s">
        <v>38</v>
      </c>
    </row>
    <row r="67" spans="1:36" x14ac:dyDescent="0.2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2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2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2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2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2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2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2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2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25">
      <c r="A80" s="15" t="s">
        <v>30</v>
      </c>
    </row>
    <row r="81" spans="1:36" x14ac:dyDescent="0.2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2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2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2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2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2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25">
      <c r="A88" s="15" t="s">
        <v>31</v>
      </c>
    </row>
    <row r="89" spans="1:36" x14ac:dyDescent="0.2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2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2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2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2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2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25">
      <c r="A96" s="15" t="s">
        <v>38</v>
      </c>
    </row>
    <row r="97" spans="1:36" x14ac:dyDescent="0.2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2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2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2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2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2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25">
      <c r="A104" s="15" t="s">
        <v>250</v>
      </c>
    </row>
    <row r="105" spans="1:36" x14ac:dyDescent="0.25">
      <c r="A105" t="s">
        <v>272</v>
      </c>
      <c r="B105" t="s">
        <v>278</v>
      </c>
      <c r="E105">
        <f>'Subsidies Paid'!H20</f>
        <v>10000000</v>
      </c>
    </row>
    <row r="106" spans="1:36" x14ac:dyDescent="0.2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281</v>
      </c>
      <c r="B107" t="s">
        <v>280</v>
      </c>
      <c r="E107">
        <f t="shared" ref="E107" si="153">5.751*10^6</f>
        <v>5751000</v>
      </c>
      <c r="AA107" s="5"/>
      <c r="AB107" s="5"/>
      <c r="AC107" s="5"/>
      <c r="AD107" s="5"/>
      <c r="AE107" s="5"/>
      <c r="AF107" s="5"/>
      <c r="AG107" s="5"/>
      <c r="AH107" s="5"/>
      <c r="AI107" s="5"/>
      <c r="AJ107" s="5"/>
    </row>
    <row r="108" spans="1:36" x14ac:dyDescent="0.2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5" x14ac:dyDescent="0.25"/>
  <cols>
    <col min="1" max="1" width="27.140625" customWidth="1"/>
    <col min="2" max="2" width="12.5703125" bestFit="1" customWidth="1"/>
  </cols>
  <sheetData>
    <row r="1" spans="1:2" x14ac:dyDescent="0.25">
      <c r="A1" t="s">
        <v>591</v>
      </c>
      <c r="B1">
        <v>10</v>
      </c>
    </row>
    <row r="2" spans="1:2" ht="30" x14ac:dyDescent="0.25">
      <c r="A2" s="36" t="s">
        <v>592</v>
      </c>
      <c r="B2">
        <v>30</v>
      </c>
    </row>
    <row r="3" spans="1:2" ht="45" x14ac:dyDescent="0.25">
      <c r="A3" s="36" t="s">
        <v>593</v>
      </c>
      <c r="B3">
        <v>0.39100000000000001</v>
      </c>
    </row>
    <row r="4" spans="1:2" ht="45" x14ac:dyDescent="0.25">
      <c r="A4" s="36" t="s">
        <v>594</v>
      </c>
      <c r="B4">
        <v>0.48799999999999999</v>
      </c>
    </row>
    <row r="5" spans="1:2" x14ac:dyDescent="0.25">
      <c r="A5" s="36" t="s">
        <v>595</v>
      </c>
      <c r="B5">
        <v>0.03</v>
      </c>
    </row>
    <row r="6" spans="1:2" x14ac:dyDescent="0.2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5" x14ac:dyDescent="0.25"/>
  <sheetData>
    <row r="29" spans="1:1" x14ac:dyDescent="0.25">
      <c r="A29" t="s">
        <v>525</v>
      </c>
    </row>
    <row r="30" spans="1:1" x14ac:dyDescent="0.2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workbookViewId="0">
      <selection activeCell="D22" sqref="D22:M22"/>
    </sheetView>
  </sheetViews>
  <sheetFormatPr defaultColWidth="9.140625" defaultRowHeight="15" x14ac:dyDescent="0.25"/>
  <cols>
    <col min="1" max="1" width="26.5703125" customWidth="1"/>
    <col min="2" max="2" width="11.85546875" bestFit="1"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2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2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2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2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2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2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2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2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2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2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2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2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2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2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2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2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2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s="126" t="s">
        <v>833</v>
      </c>
      <c r="B22">
        <v>0</v>
      </c>
      <c r="C22">
        <v>0</v>
      </c>
      <c r="D22">
        <f>'Inflation Reduction Act'!$B$223</f>
        <v>1.746451063189143E-5</v>
      </c>
      <c r="E22">
        <f>'Inflation Reduction Act'!$B$223</f>
        <v>1.746451063189143E-5</v>
      </c>
      <c r="F22">
        <f>'Inflation Reduction Act'!$B$223</f>
        <v>1.746451063189143E-5</v>
      </c>
      <c r="G22">
        <f>'Inflation Reduction Act'!$B$223</f>
        <v>1.746451063189143E-5</v>
      </c>
      <c r="H22">
        <f>'Inflation Reduction Act'!$B$223</f>
        <v>1.746451063189143E-5</v>
      </c>
      <c r="I22">
        <f>'Inflation Reduction Act'!$B$223</f>
        <v>1.746451063189143E-5</v>
      </c>
      <c r="J22">
        <f>'Inflation Reduction Act'!$B$223</f>
        <v>1.746451063189143E-5</v>
      </c>
      <c r="K22">
        <f>'Inflation Reduction Act'!$B$223</f>
        <v>1.746451063189143E-5</v>
      </c>
      <c r="L22">
        <f>'Inflation Reduction Act'!$B$223</f>
        <v>1.746451063189143E-5</v>
      </c>
      <c r="M22">
        <f>'Inflation Reduction Act'!$B$223</f>
        <v>1.746451063189143E-5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D8" sqref="D8"/>
    </sheetView>
  </sheetViews>
  <sheetFormatPr defaultColWidth="9.140625" defaultRowHeight="15" x14ac:dyDescent="0.25"/>
  <cols>
    <col min="1" max="1" width="32.42578125"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2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2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25">
      <c r="A5" t="s">
        <v>40</v>
      </c>
      <c r="B5" s="19">
        <f>Calculations!D39</f>
        <v>0</v>
      </c>
      <c r="C5" s="19">
        <f>Calculations!E39</f>
        <v>1.5544356062906066</v>
      </c>
      <c r="D5" s="19">
        <f>Calculations!F39</f>
        <v>1.5311670156123991</v>
      </c>
      <c r="E5" s="19">
        <f>'Inflation Reduction Act'!C136</f>
        <v>10.401812561487784</v>
      </c>
      <c r="F5" s="19">
        <f>'Inflation Reduction Act'!D136</f>
        <v>10.401812561487784</v>
      </c>
      <c r="G5" s="19">
        <f>'Inflation Reduction Act'!E136</f>
        <v>10.401812561487784</v>
      </c>
      <c r="H5" s="19">
        <f>'Inflation Reduction Act'!F136</f>
        <v>10.401812561487784</v>
      </c>
      <c r="I5" s="19">
        <f>'Inflation Reduction Act'!G136</f>
        <v>10.401812561487784</v>
      </c>
      <c r="J5" s="19">
        <f>'Inflation Reduction Act'!H136</f>
        <v>10.401812561487784</v>
      </c>
      <c r="K5" s="19">
        <f>'Inflation Reduction Act'!I136</f>
        <v>10.401812561487784</v>
      </c>
      <c r="L5" s="19">
        <f>'Inflation Reduction Act'!J136</f>
        <v>10.401812561487784</v>
      </c>
      <c r="M5" s="19">
        <f>'Inflation Reduction Act'!K136</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2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2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Act'!B115</f>
        <v>18.464045540966026</v>
      </c>
      <c r="E7" s="4">
        <f>'Inflation Reduction Act'!C115</f>
        <v>18.464045540966026</v>
      </c>
      <c r="F7" s="4">
        <f>'Inflation Reduction Act'!D115</f>
        <v>18.464045540966026</v>
      </c>
      <c r="G7" s="4">
        <f>'Inflation Reduction Act'!E115</f>
        <v>18.582305296242133</v>
      </c>
      <c r="H7" s="4">
        <f>'Inflation Reduction Act'!F115</f>
        <v>18.605525919351447</v>
      </c>
      <c r="I7" s="4">
        <f>'Inflation Reduction Act'!G115</f>
        <v>18.629431854407127</v>
      </c>
      <c r="J7" s="4">
        <f>'Inflation Reduction Act'!H115</f>
        <v>18.654053742983038</v>
      </c>
      <c r="K7" s="4">
        <f>'Inflation Reduction Act'!I115</f>
        <v>18.679424071173838</v>
      </c>
      <c r="L7" s="4">
        <f>'Inflation Reduction Act'!J115</f>
        <v>18.705577309693794</v>
      </c>
      <c r="M7" s="4">
        <f>'Inflation Reduction Act'!K115</f>
        <v>18.732550066852841</v>
      </c>
      <c r="N7" s="4">
        <f>'Inflation Reduction Act'!L115</f>
        <v>18.742682061996398</v>
      </c>
      <c r="O7" s="4">
        <f>'Inflation Reduction Act'!M115</f>
        <v>18.752969971104079</v>
      </c>
      <c r="P7" s="4">
        <f>'Inflation Reduction Act'!N115</f>
        <v>18.763417409027497</v>
      </c>
      <c r="Q7" s="4">
        <f>'Inflation Reduction Act'!O115</f>
        <v>18.774028102844987</v>
      </c>
      <c r="R7" s="4">
        <f>'Inflation Reduction Act'!P115</f>
        <v>18.784805896234786</v>
      </c>
      <c r="S7" s="4">
        <f>'Inflation Reduction Act'!Q115</f>
        <v>18.795754754053778</v>
      </c>
      <c r="T7" s="4">
        <f>'Inflation Reduction Act'!R115</f>
        <v>18.806878767132094</v>
      </c>
      <c r="U7" s="4">
        <f>'Inflation Reduction Act'!S115</f>
        <v>18.818182157297421</v>
      </c>
      <c r="V7" s="4">
        <f>'Inflation Reduction Act'!T115</f>
        <v>14.122251961979286</v>
      </c>
      <c r="W7" s="4">
        <f>'Inflation Reduction Act'!U115</f>
        <v>9.4206723215138908</v>
      </c>
      <c r="X7" s="4">
        <f>'Inflation Reduction Act'!V115</f>
        <v>0</v>
      </c>
      <c r="Y7" s="4">
        <f>'Inflation Reduction Act'!W115</f>
        <v>0</v>
      </c>
      <c r="Z7" s="4">
        <f>'Inflation Reduction Act'!X115</f>
        <v>0</v>
      </c>
      <c r="AA7" s="4">
        <f>'Inflation Reduction Act'!Y115</f>
        <v>0</v>
      </c>
      <c r="AB7" s="4">
        <f>'Inflation Reduction Act'!Z115</f>
        <v>0</v>
      </c>
      <c r="AC7" s="4">
        <f>'Inflation Reduction Act'!AA115</f>
        <v>0</v>
      </c>
      <c r="AD7" s="4">
        <f>'Inflation Reduction Act'!AB115</f>
        <v>0</v>
      </c>
      <c r="AE7" s="4">
        <f>'Inflation Reduction Act'!AC115</f>
        <v>0</v>
      </c>
    </row>
    <row r="8" spans="1:33" x14ac:dyDescent="0.25">
      <c r="A8" t="s">
        <v>810</v>
      </c>
      <c r="B8" s="4">
        <v>0</v>
      </c>
      <c r="C8" s="4">
        <v>0</v>
      </c>
      <c r="D8" s="4">
        <f>'Inflation Reduction Act'!B119</f>
        <v>15.219521248819278</v>
      </c>
      <c r="E8" s="4">
        <f>'Inflation Reduction Act'!C119</f>
        <v>15.251352079383627</v>
      </c>
      <c r="F8" s="4">
        <f>'Inflation Reduction Act'!D119</f>
        <v>15.266288722136904</v>
      </c>
      <c r="G8" s="4">
        <f>'Inflation Reduction Act'!E119</f>
        <v>15.369438528077259</v>
      </c>
      <c r="H8" s="4">
        <f>'Inflation Reduction Act'!F119</f>
        <v>15.473670675519186</v>
      </c>
      <c r="I8" s="4">
        <f>'Inflation Reduction Act'!G119</f>
        <v>15.488311874969083</v>
      </c>
      <c r="J8" s="4">
        <f>'Inflation Reduction Act'!H119</f>
        <v>15.504651325475697</v>
      </c>
      <c r="K8" s="4">
        <f>'Inflation Reduction Act'!I119</f>
        <v>15.522615933369755</v>
      </c>
      <c r="L8" s="4">
        <f>'Inflation Reduction Act'!J119</f>
        <v>15.543944287211726</v>
      </c>
      <c r="M8" s="4">
        <f>'Inflation Reduction Act'!K119</f>
        <v>15.566678209973249</v>
      </c>
      <c r="N8" s="4">
        <f>'Inflation Reduction Act'!L119</f>
        <v>15.590961224622461</v>
      </c>
      <c r="O8" s="4">
        <f>'Inflation Reduction Act'!M119</f>
        <v>15.616957054862262</v>
      </c>
      <c r="P8" s="4">
        <f>'Inflation Reduction Act'!N119</f>
        <v>15.644853303480344</v>
      </c>
      <c r="Q8" s="4">
        <f>'Inflation Reduction Act'!O119</f>
        <v>15.654173374757416</v>
      </c>
      <c r="R8" s="4">
        <f>'Inflation Reduction Act'!P119</f>
        <v>15.663711904843868</v>
      </c>
      <c r="S8" s="4">
        <f>'Inflation Reduction Act'!Q119</f>
        <v>15.67347665348783</v>
      </c>
      <c r="T8" s="4">
        <f>'Inflation Reduction Act'!R119</f>
        <v>15.68347575173436</v>
      </c>
      <c r="U8" s="4">
        <f>'Inflation Reduction Act'!S119</f>
        <v>15.693717724364788</v>
      </c>
      <c r="V8" s="4">
        <f>'Inflation Reduction Act'!T119</f>
        <v>11.778158635482802</v>
      </c>
      <c r="W8" s="4">
        <f>'Inflation Reduction Act'!U119</f>
        <v>7.8574832534279029</v>
      </c>
      <c r="X8" s="4">
        <f>'Inflation Reduction Act'!V119</f>
        <v>0</v>
      </c>
      <c r="Y8" s="4">
        <f>'Inflation Reduction Act'!W119</f>
        <v>0</v>
      </c>
      <c r="Z8" s="4">
        <f>'Inflation Reduction Act'!X119</f>
        <v>0</v>
      </c>
      <c r="AA8" s="4">
        <f>'Inflation Reduction Act'!Y119</f>
        <v>0</v>
      </c>
      <c r="AB8" s="4">
        <f>'Inflation Reduction Act'!Z119</f>
        <v>0</v>
      </c>
      <c r="AC8" s="4">
        <f>'Inflation Reduction Act'!AA119</f>
        <v>0</v>
      </c>
      <c r="AD8" s="4">
        <f>'Inflation Reduction Act'!AB119</f>
        <v>0</v>
      </c>
      <c r="AE8" s="4">
        <f>'Inflation Reduction Act'!AC119</f>
        <v>0</v>
      </c>
    </row>
    <row r="9" spans="1:33" x14ac:dyDescent="0.2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2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2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2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2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2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2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A18" t="s">
        <v>503</v>
      </c>
      <c r="B18">
        <v>0</v>
      </c>
      <c r="C18">
        <v>0</v>
      </c>
      <c r="D18" s="4">
        <f>'Inflation Reduction Act'!B132</f>
        <v>16.379651838339772</v>
      </c>
      <c r="E18" s="4">
        <f>'Inflation Reduction Act'!C132</f>
        <v>16.379651838339772</v>
      </c>
      <c r="F18" s="4">
        <f>'Inflation Reduction Act'!D132</f>
        <v>16.379651838339772</v>
      </c>
      <c r="G18" s="4">
        <f>'Inflation Reduction Act'!E132</f>
        <v>16.379651838339772</v>
      </c>
      <c r="H18" s="4">
        <f>'Inflation Reduction Act'!F132</f>
        <v>16.379651838339772</v>
      </c>
      <c r="I18" s="4">
        <f>'Inflation Reduction Act'!G132</f>
        <v>16.379651838339772</v>
      </c>
      <c r="J18" s="4">
        <f>'Inflation Reduction Act'!H132</f>
        <v>16.379651838339772</v>
      </c>
      <c r="K18" s="4">
        <f>'Inflation Reduction Act'!I132</f>
        <v>16.379651838339772</v>
      </c>
      <c r="L18" s="4">
        <f>'Inflation Reduction Act'!J132</f>
        <v>16.379651838339772</v>
      </c>
      <c r="M18" s="4">
        <f>'Inflation Reduction Act'!K132</f>
        <v>16.379651838339772</v>
      </c>
      <c r="N18" s="4">
        <f>'Inflation Reduction Act'!L132</f>
        <v>16.379651838339772</v>
      </c>
      <c r="O18" s="4">
        <f>'Inflation Reduction Act'!M132</f>
        <v>16.379651838339772</v>
      </c>
      <c r="P18" s="4">
        <f>'Inflation Reduction Act'!N132</f>
        <v>16.379651838339772</v>
      </c>
      <c r="Q18" s="4">
        <f>'Inflation Reduction Act'!O132</f>
        <v>16.379651838339772</v>
      </c>
      <c r="R18" s="4">
        <f>'Inflation Reduction Act'!P132</f>
        <v>16.379651838339772</v>
      </c>
      <c r="S18" s="4">
        <f>'Inflation Reduction Act'!Q132</f>
        <v>16.379651838339772</v>
      </c>
      <c r="T18" s="4">
        <f>'Inflation Reduction Act'!R132</f>
        <v>17.707731717124076</v>
      </c>
      <c r="U18" s="4">
        <f>'Inflation Reduction Act'!S132</f>
        <v>17.707731717124076</v>
      </c>
      <c r="V18" s="4">
        <f>'Inflation Reduction Act'!T132</f>
        <v>13.280798787843057</v>
      </c>
      <c r="W18" s="4">
        <f>'Inflation Reduction Act'!U132</f>
        <v>8.8538658585620382</v>
      </c>
      <c r="X18" s="4">
        <f>'Inflation Reduction Act'!V132</f>
        <v>0</v>
      </c>
      <c r="Y18" s="4">
        <f>'Inflation Reduction Act'!W132</f>
        <v>0</v>
      </c>
      <c r="Z18" s="4">
        <f>'Inflation Reduction Act'!X132</f>
        <v>0</v>
      </c>
      <c r="AA18" s="4">
        <f>'Inflation Reduction Act'!Y132</f>
        <v>0</v>
      </c>
      <c r="AB18" s="4">
        <f>'Inflation Reduction Act'!Z132</f>
        <v>0</v>
      </c>
      <c r="AC18" s="4">
        <f>'Inflation Reduction Act'!AA132</f>
        <v>0</v>
      </c>
      <c r="AD18" s="4">
        <f>'Inflation Reduction Act'!AB132</f>
        <v>0</v>
      </c>
      <c r="AE18" s="4">
        <f>'Inflation Reduction Act'!AC132</f>
        <v>0</v>
      </c>
    </row>
    <row r="19" spans="1:31"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topLeftCell="C1" workbookViewId="0">
      <selection activeCell="D15" sqref="D15:AE15"/>
    </sheetView>
  </sheetViews>
  <sheetFormatPr defaultRowHeight="15" x14ac:dyDescent="0.25"/>
  <cols>
    <col min="1" max="1" width="32.7109375" customWidth="1"/>
  </cols>
  <sheetData>
    <row r="1" spans="1:33" x14ac:dyDescent="0.2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2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2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2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2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2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2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25">
      <c r="A9" t="s">
        <v>811</v>
      </c>
      <c r="B9" s="19">
        <f>Calculations!D19</f>
        <v>0.20099999999999998</v>
      </c>
      <c r="C9" s="19">
        <f>Calculations!E19</f>
        <v>0.17419999999999999</v>
      </c>
      <c r="D9" s="19">
        <f>'Inflation Reduction Act'!B156</f>
        <v>0.41625000000000001</v>
      </c>
      <c r="E9" s="19">
        <f>'Inflation Reduction Act'!C156</f>
        <v>0.41625000000000001</v>
      </c>
      <c r="F9" s="19">
        <f>'Inflation Reduction Act'!D156</f>
        <v>0.41625000000000001</v>
      </c>
      <c r="G9" s="19">
        <f>'Inflation Reduction Act'!E156</f>
        <v>0.41625000000000001</v>
      </c>
      <c r="H9" s="19">
        <f>'Inflation Reduction Act'!F156</f>
        <v>0.41625000000000001</v>
      </c>
      <c r="I9" s="19">
        <f>'Inflation Reduction Act'!G156</f>
        <v>0.41625000000000001</v>
      </c>
      <c r="J9" s="19">
        <f>'Inflation Reduction Act'!H156</f>
        <v>0.41625000000000001</v>
      </c>
      <c r="K9" s="19">
        <f>'Inflation Reduction Act'!I156</f>
        <v>0.41625000000000001</v>
      </c>
      <c r="L9" s="19">
        <f>'Inflation Reduction Act'!J156</f>
        <v>0.41625000000000001</v>
      </c>
      <c r="M9" s="19">
        <f>'Inflation Reduction Act'!K156</f>
        <v>0.41625000000000001</v>
      </c>
      <c r="N9" s="19">
        <f>'Inflation Reduction Act'!L156</f>
        <v>0.41625000000000001</v>
      </c>
      <c r="O9" s="19">
        <f>'Inflation Reduction Act'!M156</f>
        <v>0.41625000000000001</v>
      </c>
      <c r="P9" s="19">
        <f>'Inflation Reduction Act'!N156</f>
        <v>0.41625000000000001</v>
      </c>
      <c r="Q9" s="19">
        <f>'Inflation Reduction Act'!O156</f>
        <v>0.41625000000000001</v>
      </c>
      <c r="R9" s="19">
        <f>'Inflation Reduction Act'!P156</f>
        <v>0.41625000000000001</v>
      </c>
      <c r="S9" s="19">
        <f>'Inflation Reduction Act'!Q156</f>
        <v>0.41625000000000001</v>
      </c>
      <c r="T9" s="19">
        <f>'Inflation Reduction Act'!R156</f>
        <v>0.41625000000000001</v>
      </c>
      <c r="U9" s="19">
        <f>'Inflation Reduction Act'!S156</f>
        <v>0.41625000000000001</v>
      </c>
      <c r="V9" s="19">
        <f>'Inflation Reduction Act'!T156</f>
        <v>0.31218750000000001</v>
      </c>
      <c r="W9" s="19">
        <f>'Inflation Reduction Act'!U156</f>
        <v>0.208125</v>
      </c>
      <c r="X9" s="19">
        <f>'Inflation Reduction Act'!V156</f>
        <v>0</v>
      </c>
      <c r="Y9" s="19">
        <f>'Inflation Reduction Act'!W156</f>
        <v>0</v>
      </c>
      <c r="Z9" s="19">
        <f>'Inflation Reduction Act'!X156</f>
        <v>0</v>
      </c>
      <c r="AA9" s="19">
        <f>'Inflation Reduction Act'!Y156</f>
        <v>0</v>
      </c>
      <c r="AB9" s="19">
        <f>'Inflation Reduction Act'!Z156</f>
        <v>0</v>
      </c>
      <c r="AC9" s="19">
        <f>'Inflation Reduction Act'!AA156</f>
        <v>0</v>
      </c>
      <c r="AD9" s="19">
        <f>'Inflation Reduction Act'!AB156</f>
        <v>0</v>
      </c>
      <c r="AE9" s="19">
        <f>'Inflation Reduction Act'!AC156</f>
        <v>0</v>
      </c>
      <c r="AF9" s="20"/>
      <c r="AG9" s="20"/>
    </row>
    <row r="10" spans="1:33" x14ac:dyDescent="0.2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25">
      <c r="A11" t="s">
        <v>301</v>
      </c>
      <c r="B11" s="19">
        <f>Calculations!D26</f>
        <v>6.699999999999999E-2</v>
      </c>
      <c r="C11" s="19">
        <f>Calculations!E26</f>
        <v>6.699999999999999E-2</v>
      </c>
      <c r="D11" s="19">
        <f>'Inflation Reduction Act'!B159</f>
        <v>0.41625000000000001</v>
      </c>
      <c r="E11" s="19">
        <f>'Inflation Reduction Act'!C159</f>
        <v>0.41625000000000001</v>
      </c>
      <c r="F11" s="19">
        <f>'Inflation Reduction Act'!D159</f>
        <v>0.41625000000000001</v>
      </c>
      <c r="G11" s="19">
        <f>'Inflation Reduction Act'!E159</f>
        <v>0.41625000000000001</v>
      </c>
      <c r="H11" s="19">
        <f>'Inflation Reduction Act'!F159</f>
        <v>0.41625000000000001</v>
      </c>
      <c r="I11" s="19">
        <f>'Inflation Reduction Act'!G159</f>
        <v>0.41625000000000001</v>
      </c>
      <c r="J11" s="19">
        <f>'Inflation Reduction Act'!H159</f>
        <v>0.41625000000000001</v>
      </c>
      <c r="K11" s="19">
        <f>'Inflation Reduction Act'!I159</f>
        <v>0.41625000000000001</v>
      </c>
      <c r="L11" s="19">
        <f>'Inflation Reduction Act'!J159</f>
        <v>0.41625000000000001</v>
      </c>
      <c r="M11" s="19">
        <f>'Inflation Reduction Act'!K159</f>
        <v>0.41625000000000001</v>
      </c>
      <c r="N11" s="19">
        <f>'Inflation Reduction Act'!L159</f>
        <v>0.41625000000000001</v>
      </c>
      <c r="O11" s="19">
        <f>'Inflation Reduction Act'!M159</f>
        <v>0.41625000000000001</v>
      </c>
      <c r="P11" s="19">
        <f>'Inflation Reduction Act'!N159</f>
        <v>0.41625000000000001</v>
      </c>
      <c r="Q11" s="19">
        <f>'Inflation Reduction Act'!O159</f>
        <v>0.41625000000000001</v>
      </c>
      <c r="R11" s="19">
        <f>'Inflation Reduction Act'!P159</f>
        <v>0.41625000000000001</v>
      </c>
      <c r="S11" s="19">
        <f>'Inflation Reduction Act'!Q159</f>
        <v>0.41625000000000001</v>
      </c>
      <c r="T11" s="19">
        <f>'Inflation Reduction Act'!R159</f>
        <v>0.41625000000000001</v>
      </c>
      <c r="U11" s="19">
        <f>'Inflation Reduction Act'!S159</f>
        <v>0.41625000000000001</v>
      </c>
      <c r="V11" s="19">
        <f>'Inflation Reduction Act'!T159</f>
        <v>0.31218750000000001</v>
      </c>
      <c r="W11" s="19">
        <f>'Inflation Reduction Act'!U159</f>
        <v>0.208125</v>
      </c>
      <c r="X11" s="19">
        <f>'Inflation Reduction Act'!V159</f>
        <v>0</v>
      </c>
      <c r="Y11" s="19">
        <f>'Inflation Reduction Act'!W159</f>
        <v>0</v>
      </c>
      <c r="Z11" s="19">
        <f>'Inflation Reduction Act'!X159</f>
        <v>0</v>
      </c>
      <c r="AA11" s="19">
        <f>'Inflation Reduction Act'!Y159</f>
        <v>0</v>
      </c>
      <c r="AB11" s="19">
        <f>'Inflation Reduction Act'!Z159</f>
        <v>0</v>
      </c>
      <c r="AC11" s="19">
        <f>'Inflation Reduction Act'!AA159</f>
        <v>0</v>
      </c>
      <c r="AD11" s="19">
        <f>'Inflation Reduction Act'!AB159</f>
        <v>0</v>
      </c>
      <c r="AE11" s="19">
        <f>'Inflation Reduction Act'!AC159</f>
        <v>0</v>
      </c>
      <c r="AF11" s="20"/>
      <c r="AG11" s="20"/>
    </row>
    <row r="12" spans="1:33" x14ac:dyDescent="0.2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2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2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25">
      <c r="A15" t="s">
        <v>509</v>
      </c>
      <c r="B15" s="19">
        <f>Calculations!D12</f>
        <v>0.20099999999999998</v>
      </c>
      <c r="C15" s="19">
        <f>Calculations!E12</f>
        <v>0.20099999999999998</v>
      </c>
      <c r="D15" s="19">
        <f>'Inflation Reduction Act'!B162</f>
        <v>0.41625000000000001</v>
      </c>
      <c r="E15" s="19">
        <f>'Inflation Reduction Act'!C162</f>
        <v>0.41625000000000001</v>
      </c>
      <c r="F15" s="19">
        <f>'Inflation Reduction Act'!D162</f>
        <v>0.41625000000000001</v>
      </c>
      <c r="G15" s="19">
        <f>'Inflation Reduction Act'!E162</f>
        <v>0.41625000000000001</v>
      </c>
      <c r="H15" s="19">
        <f>'Inflation Reduction Act'!F162</f>
        <v>0.41625000000000001</v>
      </c>
      <c r="I15" s="19">
        <f>'Inflation Reduction Act'!G162</f>
        <v>0.41625000000000001</v>
      </c>
      <c r="J15" s="19">
        <f>'Inflation Reduction Act'!H162</f>
        <v>0.41625000000000001</v>
      </c>
      <c r="K15" s="19">
        <f>'Inflation Reduction Act'!I162</f>
        <v>0.41625000000000001</v>
      </c>
      <c r="L15" s="19">
        <f>'Inflation Reduction Act'!J162</f>
        <v>0.41625000000000001</v>
      </c>
      <c r="M15" s="19">
        <f>'Inflation Reduction Act'!K162</f>
        <v>0.41625000000000001</v>
      </c>
      <c r="N15" s="19">
        <f>'Inflation Reduction Act'!L162</f>
        <v>0.41625000000000001</v>
      </c>
      <c r="O15" s="19">
        <f>'Inflation Reduction Act'!M162</f>
        <v>0.41625000000000001</v>
      </c>
      <c r="P15" s="19">
        <f>'Inflation Reduction Act'!N162</f>
        <v>0.41625000000000001</v>
      </c>
      <c r="Q15" s="19">
        <f>'Inflation Reduction Act'!O162</f>
        <v>0.41625000000000001</v>
      </c>
      <c r="R15" s="19">
        <f>'Inflation Reduction Act'!P162</f>
        <v>0.41625000000000001</v>
      </c>
      <c r="S15" s="19">
        <f>'Inflation Reduction Act'!Q162</f>
        <v>0.41625000000000001</v>
      </c>
      <c r="T15" s="19">
        <f>'Inflation Reduction Act'!R162</f>
        <v>0.41625000000000001</v>
      </c>
      <c r="U15" s="19">
        <f>'Inflation Reduction Act'!S162</f>
        <v>0.41625000000000001</v>
      </c>
      <c r="V15" s="19">
        <f>'Inflation Reduction Act'!T162</f>
        <v>0.31218750000000001</v>
      </c>
      <c r="W15" s="19">
        <f>'Inflation Reduction Act'!U162</f>
        <v>0.208125</v>
      </c>
      <c r="X15" s="19">
        <f>'Inflation Reduction Act'!V162</f>
        <v>0</v>
      </c>
      <c r="Y15" s="19">
        <f>'Inflation Reduction Act'!W162</f>
        <v>0</v>
      </c>
      <c r="Z15" s="19">
        <f>'Inflation Reduction Act'!X162</f>
        <v>0</v>
      </c>
      <c r="AA15" s="19">
        <f>'Inflation Reduction Act'!Y162</f>
        <v>0</v>
      </c>
      <c r="AB15" s="19">
        <f>'Inflation Reduction Act'!Z162</f>
        <v>0</v>
      </c>
      <c r="AC15" s="19">
        <f>'Inflation Reduction Act'!AA162</f>
        <v>0</v>
      </c>
      <c r="AD15" s="19">
        <f>'Inflation Reduction Act'!AB162</f>
        <v>0</v>
      </c>
      <c r="AE15" s="19">
        <f>'Inflation Reduction Act'!AC162</f>
        <v>0</v>
      </c>
      <c r="AF15" s="20"/>
      <c r="AG15" s="20"/>
    </row>
    <row r="16" spans="1:33" x14ac:dyDescent="0.2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2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2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40625" defaultRowHeight="15" x14ac:dyDescent="0.25"/>
  <cols>
    <col min="1" max="1" width="32.42578125" customWidth="1"/>
    <col min="2" max="2" width="87.7109375" customWidth="1"/>
    <col min="13" max="13" width="11.5703125" customWidth="1"/>
  </cols>
  <sheetData>
    <row r="1" spans="1:14" x14ac:dyDescent="0.25">
      <c r="A1" t="s">
        <v>5</v>
      </c>
    </row>
    <row r="2" spans="1:14" x14ac:dyDescent="0.25">
      <c r="A2" s="1" t="s">
        <v>166</v>
      </c>
    </row>
    <row r="3" spans="1:14" x14ac:dyDescent="0.25">
      <c r="A3" t="s">
        <v>7</v>
      </c>
    </row>
    <row r="4" spans="1:14" x14ac:dyDescent="0.25">
      <c r="A4" t="s">
        <v>13</v>
      </c>
    </row>
    <row r="5" spans="1:14" x14ac:dyDescent="0.25">
      <c r="A5" t="s">
        <v>14</v>
      </c>
    </row>
    <row r="7" spans="1:14" x14ac:dyDescent="0.25">
      <c r="B7" s="1"/>
      <c r="C7" s="1" t="s">
        <v>8</v>
      </c>
      <c r="D7" s="1"/>
      <c r="E7" s="1"/>
      <c r="F7" s="1"/>
      <c r="G7" s="1"/>
      <c r="H7" s="1" t="s">
        <v>9</v>
      </c>
      <c r="I7" s="1"/>
      <c r="J7" s="1"/>
      <c r="K7" s="1"/>
      <c r="L7" s="1"/>
      <c r="M7" s="1" t="s">
        <v>11</v>
      </c>
    </row>
    <row r="8" spans="1:14" x14ac:dyDescent="0.25">
      <c r="A8" s="1" t="s">
        <v>34</v>
      </c>
      <c r="B8" s="1" t="s">
        <v>6</v>
      </c>
      <c r="C8" s="1">
        <v>2014</v>
      </c>
      <c r="D8" s="1">
        <v>2015</v>
      </c>
      <c r="E8" s="1">
        <v>2016</v>
      </c>
      <c r="F8" s="1">
        <v>2017</v>
      </c>
      <c r="G8" s="1">
        <v>2018</v>
      </c>
      <c r="H8" s="1">
        <v>2014</v>
      </c>
      <c r="I8" s="1">
        <v>2015</v>
      </c>
      <c r="J8" s="1">
        <v>2016</v>
      </c>
      <c r="K8" s="1">
        <v>2017</v>
      </c>
      <c r="L8" s="1">
        <v>2018</v>
      </c>
      <c r="M8" s="3" t="s">
        <v>12</v>
      </c>
    </row>
    <row r="9" spans="1:14" x14ac:dyDescent="0.2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22</v>
      </c>
      <c r="B10" s="7" t="s">
        <v>15</v>
      </c>
      <c r="C10" s="23">
        <v>0.4</v>
      </c>
      <c r="D10" s="23">
        <v>0.4</v>
      </c>
      <c r="E10" s="23">
        <v>0.4</v>
      </c>
      <c r="F10" s="23">
        <v>0.4</v>
      </c>
      <c r="G10" s="23">
        <v>0.3</v>
      </c>
      <c r="H10" s="23">
        <v>0.1</v>
      </c>
      <c r="I10" s="23">
        <v>0.1</v>
      </c>
      <c r="J10" s="23">
        <v>0.1</v>
      </c>
      <c r="K10" s="23">
        <v>0.1</v>
      </c>
      <c r="L10" s="23">
        <v>0.1</v>
      </c>
      <c r="M10" s="23">
        <v>2.9</v>
      </c>
    </row>
    <row r="11" spans="1:14" x14ac:dyDescent="0.2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25</v>
      </c>
      <c r="B14" s="7" t="s">
        <v>19</v>
      </c>
      <c r="C14" s="23">
        <v>0.3</v>
      </c>
      <c r="D14" s="23">
        <v>0.4</v>
      </c>
      <c r="E14" s="23">
        <v>0.4</v>
      </c>
      <c r="F14" s="23">
        <v>0.4</v>
      </c>
      <c r="G14" s="23">
        <v>0.4</v>
      </c>
      <c r="H14" s="24"/>
      <c r="I14" s="24"/>
      <c r="J14" s="24"/>
      <c r="K14" s="24"/>
      <c r="L14" s="24"/>
      <c r="M14" s="23">
        <v>1.9</v>
      </c>
    </row>
    <row r="15" spans="1:14" x14ac:dyDescent="0.25">
      <c r="A15" s="7" t="s">
        <v>26</v>
      </c>
      <c r="B15" s="7" t="s">
        <v>20</v>
      </c>
      <c r="C15" s="23">
        <v>0.2</v>
      </c>
      <c r="D15" s="23">
        <v>0.2</v>
      </c>
      <c r="E15" s="23">
        <v>0.2</v>
      </c>
      <c r="F15" s="23">
        <v>0.2</v>
      </c>
      <c r="G15" s="23">
        <v>0.2</v>
      </c>
      <c r="H15" s="23"/>
      <c r="I15" s="23"/>
      <c r="J15" s="23"/>
      <c r="K15" s="23"/>
      <c r="L15" s="23"/>
      <c r="M15" s="23">
        <v>1</v>
      </c>
    </row>
    <row r="16" spans="1:14" x14ac:dyDescent="0.2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2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30" x14ac:dyDescent="0.25">
      <c r="A18" s="7" t="s">
        <v>42</v>
      </c>
      <c r="B18" s="7" t="s">
        <v>29</v>
      </c>
      <c r="C18" s="23">
        <v>0.9</v>
      </c>
      <c r="D18" s="23">
        <v>0.9</v>
      </c>
      <c r="E18" s="23">
        <v>0.9</v>
      </c>
      <c r="F18" s="23">
        <v>1</v>
      </c>
      <c r="G18" s="23">
        <v>1</v>
      </c>
      <c r="H18" s="23">
        <v>0.2</v>
      </c>
      <c r="I18" s="23">
        <v>0.2</v>
      </c>
      <c r="J18" s="23">
        <v>0.3</v>
      </c>
      <c r="K18" s="23">
        <v>0.3</v>
      </c>
      <c r="L18" s="23">
        <v>0.3</v>
      </c>
      <c r="M18" s="23">
        <v>6</v>
      </c>
    </row>
    <row r="19" spans="1:14" x14ac:dyDescent="0.25">
      <c r="A19" s="7" t="s">
        <v>26</v>
      </c>
      <c r="B19" s="7" t="s">
        <v>265</v>
      </c>
      <c r="C19" s="23">
        <v>0.1</v>
      </c>
      <c r="D19" s="23">
        <v>0.1</v>
      </c>
      <c r="E19" s="23">
        <v>0.1</v>
      </c>
      <c r="F19" s="23">
        <v>0.1</v>
      </c>
      <c r="G19" s="23">
        <v>0.1</v>
      </c>
      <c r="H19" s="23">
        <v>0</v>
      </c>
      <c r="I19" s="23">
        <v>0</v>
      </c>
      <c r="J19" s="23">
        <v>0</v>
      </c>
      <c r="K19" s="23">
        <v>0</v>
      </c>
      <c r="L19" s="23">
        <v>0</v>
      </c>
      <c r="M19" s="23">
        <v>0.5</v>
      </c>
      <c r="N19" t="s">
        <v>266</v>
      </c>
    </row>
    <row r="20" spans="1:14" ht="30" x14ac:dyDescent="0.2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30" x14ac:dyDescent="0.2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26</v>
      </c>
      <c r="B22" s="8" t="s">
        <v>32</v>
      </c>
      <c r="C22" s="23">
        <v>0.4</v>
      </c>
      <c r="D22" s="23">
        <v>0.4</v>
      </c>
      <c r="E22" s="23">
        <v>0.4</v>
      </c>
      <c r="F22" s="23">
        <v>0.3</v>
      </c>
      <c r="G22" s="23">
        <v>0.3</v>
      </c>
      <c r="H22" s="23"/>
      <c r="I22" s="23"/>
      <c r="J22" s="23"/>
      <c r="K22" s="23"/>
      <c r="L22" s="23"/>
      <c r="M22" s="23">
        <v>1.8</v>
      </c>
    </row>
    <row r="23" spans="1:14" x14ac:dyDescent="0.25">
      <c r="A23" s="6" t="s">
        <v>33</v>
      </c>
      <c r="B23" s="6" t="s">
        <v>35</v>
      </c>
      <c r="C23" s="22">
        <v>0.3</v>
      </c>
      <c r="D23" s="22">
        <v>0.3</v>
      </c>
      <c r="E23" s="22">
        <v>0.3</v>
      </c>
      <c r="F23" s="22">
        <v>0.3</v>
      </c>
      <c r="G23" s="22">
        <v>0.2</v>
      </c>
      <c r="H23" s="25"/>
      <c r="I23" s="25"/>
      <c r="J23" s="25"/>
      <c r="K23" s="25"/>
      <c r="L23" s="25"/>
      <c r="M23" s="22">
        <v>1.4</v>
      </c>
      <c r="N23" t="s">
        <v>241</v>
      </c>
    </row>
    <row r="24" spans="1:14" x14ac:dyDescent="0.25">
      <c r="A24" s="6" t="s">
        <v>37</v>
      </c>
      <c r="B24" s="6" t="s">
        <v>36</v>
      </c>
      <c r="C24" s="22">
        <v>0.2</v>
      </c>
      <c r="D24" s="22">
        <v>0.2</v>
      </c>
      <c r="E24" s="22">
        <v>0.2</v>
      </c>
      <c r="F24" s="22">
        <v>0.1</v>
      </c>
      <c r="G24" s="22">
        <v>0.1</v>
      </c>
      <c r="H24" s="22"/>
      <c r="I24" s="22"/>
      <c r="J24" s="22"/>
      <c r="K24" s="22"/>
      <c r="L24" s="22"/>
      <c r="M24" s="22">
        <v>0.8</v>
      </c>
      <c r="N24" t="s">
        <v>245</v>
      </c>
    </row>
    <row r="25" spans="1:14" ht="30" x14ac:dyDescent="0.25">
      <c r="A25" s="7" t="s">
        <v>42</v>
      </c>
      <c r="B25" s="7" t="s">
        <v>38</v>
      </c>
      <c r="C25" s="23"/>
      <c r="D25" s="23"/>
      <c r="E25" s="23"/>
      <c r="F25" s="23"/>
      <c r="G25" s="23"/>
      <c r="H25" s="23">
        <v>1.1000000000000001</v>
      </c>
      <c r="I25" s="23">
        <v>1.1000000000000001</v>
      </c>
      <c r="J25" s="23">
        <v>1.2</v>
      </c>
      <c r="K25" s="23">
        <v>1.2</v>
      </c>
      <c r="L25" s="23">
        <v>1.2</v>
      </c>
      <c r="M25" s="23">
        <v>5.8</v>
      </c>
    </row>
    <row r="26" spans="1:14" x14ac:dyDescent="0.25">
      <c r="A26" s="7" t="s">
        <v>40</v>
      </c>
      <c r="B26" s="7" t="s">
        <v>39</v>
      </c>
      <c r="C26" s="23">
        <v>0.2</v>
      </c>
      <c r="D26" s="23">
        <v>0.2</v>
      </c>
      <c r="E26" s="23">
        <v>0.2</v>
      </c>
      <c r="F26" s="23">
        <v>0.3</v>
      </c>
      <c r="G26" s="23">
        <v>0.3</v>
      </c>
      <c r="H26" s="23"/>
      <c r="I26" s="23"/>
      <c r="J26" s="23"/>
      <c r="K26" s="23"/>
      <c r="L26" s="23"/>
      <c r="M26" s="23">
        <v>1.2</v>
      </c>
    </row>
    <row r="27" spans="1:14" ht="30" x14ac:dyDescent="0.25">
      <c r="A27" s="6" t="s">
        <v>42</v>
      </c>
      <c r="B27" s="6" t="s">
        <v>41</v>
      </c>
      <c r="C27" s="22"/>
      <c r="D27" s="22"/>
      <c r="E27" s="22"/>
      <c r="F27" s="22"/>
      <c r="G27" s="22"/>
      <c r="H27" s="22">
        <v>0.1</v>
      </c>
      <c r="I27" s="22">
        <v>0.1</v>
      </c>
      <c r="J27" s="22">
        <v>0.1</v>
      </c>
      <c r="K27" s="22">
        <v>0.1</v>
      </c>
      <c r="L27" s="22">
        <v>0.1</v>
      </c>
      <c r="M27" s="22">
        <v>0.5</v>
      </c>
      <c r="N27" t="s">
        <v>246</v>
      </c>
    </row>
    <row r="29" spans="1:14" x14ac:dyDescent="0.25">
      <c r="A29" s="26" t="s">
        <v>113</v>
      </c>
    </row>
    <row r="30" spans="1:14" x14ac:dyDescent="0.25">
      <c r="A30" t="s">
        <v>114</v>
      </c>
    </row>
    <row r="31" spans="1:14" x14ac:dyDescent="0.2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2023-12-07T22:36:01Z</dcterms:modified>
</cp:coreProperties>
</file>