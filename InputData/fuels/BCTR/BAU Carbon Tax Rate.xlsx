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A\fuels\BCTR\"/>
    </mc:Choice>
  </mc:AlternateContent>
  <xr:revisionPtr revIDLastSave="0" documentId="8_{0998693E-3EC2-40C9-ADB8-8D0E6E4B845C}"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<sst xmlns="http://schemas.openxmlformats.org/spreadsheetml/2006/main" count="901" uniqueCount="564">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</sst>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156</v>
      </c>
      <c r="C1" s="12">
        <v>46267</v>
      </c>
    </row>
    <row r="2" spans="1:3" x14ac:dyDescent="0.45">
      <c r="A2" t="s">
        <v>2</v>
      </c>
      <c r="B2" t="str">
        <f>IFERROR(INDEX(Keys!$A:$A,MATCH($B$1,Keys!$B:$B,0)),"")</f>
        <v>MA</v>
      </c>
    </row>
    <row r="3" spans="1:3" x14ac:dyDescent="0.45">
      <c r="A3" t="s">
        <v>3</v>
      </c>
      <c r="B3" t="str">
        <f>IFERROR(INDEX(Keys!$C:$C,MATCH($B$1,Keys!$B:$B,0)),"none")</f>
        <v>RGGI</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5.1565577453234219</v>
      </c>
      <c r="C3">
        <f>IFERROR(INDEX(Calcs!$B$30:$AF$35,MATCH(About!$B$3,Calcs!$A$30:$A$35,0),MATCH(C$1,Calcs!$B$29:$AF$29,0))*INDEX(Keys!$F$2:$M$7,MATCH(About!$B$3,Keys!$E$2:$E$7,0),MATCH($A3,Keys!$F$1:$M$1,0)),0)</f>
        <v>7.2772635586230932</v>
      </c>
      <c r="D3">
        <f>IFERROR(INDEX(Calcs!$B$30:$AF$35,MATCH(About!$B$3,Calcs!$A$30:$A$35,0),MATCH(D$1,Calcs!$B$29:$AF$29,0))*INDEX(Keys!$F$2:$M$7,MATCH(About!$B$3,Keys!$E$2:$E$7,0),MATCH($A3,Keys!$F$1:$M$1,0)),0)</f>
        <v>9.5795059815250028</v>
      </c>
      <c r="E3">
        <f>IFERROR(INDEX(Calcs!$B$30:$AF$35,MATCH(About!$B$3,Calcs!$A$30:$A$35,0),MATCH(E$1,Calcs!$B$29:$AF$29,0))*INDEX(Keys!$F$2:$M$7,MATCH(About!$B$3,Keys!$E$2:$E$7,0),MATCH($A3,Keys!$F$1:$M$1,0)),0)</f>
        <v>9.2212680440916053</v>
      </c>
      <c r="F3">
        <f>IFERROR(INDEX(Calcs!$B$30:$AF$35,MATCH(About!$B$3,Calcs!$A$30:$A$35,0),MATCH(F$1,Calcs!$B$29:$AF$29,0))*INDEX(Keys!$F$2:$M$7,MATCH(About!$B$3,Keys!$E$2:$E$7,0),MATCH($A3,Keys!$F$1:$M$1,0)),0)</f>
        <v>13.748874660438766</v>
      </c>
      <c r="G3">
        <f>IFERROR(INDEX(Calcs!$B$30:$AF$35,MATCH(About!$B$3,Calcs!$A$30:$A$35,0),MATCH(G$1,Calcs!$B$29:$AF$29,0))*INDEX(Keys!$F$2:$M$7,MATCH(About!$B$3,Keys!$E$2:$E$7,0),MATCH($A3,Keys!$F$1:$M$1,0)),0)</f>
        <v>14.290354203701533</v>
      </c>
      <c r="H3">
        <f>IFERROR(INDEX(Calcs!$B$30:$AF$35,MATCH(About!$B$3,Calcs!$A$30:$A$35,0),MATCH(H$1,Calcs!$B$29:$AF$29,0))*INDEX(Keys!$F$2:$M$7,MATCH(About!$B$3,Keys!$E$2:$E$7,0),MATCH($A3,Keys!$F$1:$M$1,0)),0)</f>
        <v>15.680530187089062</v>
      </c>
      <c r="I3">
        <f>IFERROR(INDEX(Calcs!$B$30:$AF$35,MATCH(About!$B$3,Calcs!$A$30:$A$35,0),MATCH(I$1,Calcs!$B$29:$AF$29,0))*INDEX(Keys!$F$2:$M$7,MATCH(About!$B$3,Keys!$E$2:$E$7,0),MATCH($A3,Keys!$F$1:$M$1,0)),0)</f>
        <v>17.294102976581598</v>
      </c>
      <c r="J3">
        <f>IFERROR(INDEX(Calcs!$B$30:$AF$35,MATCH(About!$B$3,Calcs!$A$30:$A$35,0),MATCH(J$1,Calcs!$B$29:$AF$29,0))*INDEX(Keys!$F$2:$M$7,MATCH(About!$B$3,Keys!$E$2:$E$7,0),MATCH($A3,Keys!$F$1:$M$1,0)),0)</f>
        <v>18.90767576607459</v>
      </c>
      <c r="K3">
        <f>IFERROR(INDEX(Calcs!$B$30:$AF$35,MATCH(About!$B$3,Calcs!$A$30:$A$35,0),MATCH(K$1,Calcs!$B$29:$AF$29,0))*INDEX(Keys!$F$2:$M$7,MATCH(About!$B$3,Keys!$E$2:$E$7,0),MATCH($A3,Keys!$F$1:$M$1,0)),0)</f>
        <v>20.521248555567126</v>
      </c>
      <c r="L3">
        <f>IFERROR(INDEX(Calcs!$B$30:$AF$35,MATCH(About!$B$3,Calcs!$A$30:$A$35,0),MATCH(L$1,Calcs!$B$29:$AF$29,0))*INDEX(Keys!$F$2:$M$7,MATCH(About!$B$3,Keys!$E$2:$E$7,0),MATCH($A3,Keys!$F$1:$M$1,0)),0)</f>
        <v>22.134821345060118</v>
      </c>
      <c r="M3">
        <f>IFERROR(INDEX(Calcs!$B$30:$AF$35,MATCH(About!$B$3,Calcs!$A$30:$A$35,0),MATCH(M$1,Calcs!$B$29:$AF$29,0))*INDEX(Keys!$F$2:$M$7,MATCH(About!$B$3,Keys!$E$2:$E$7,0),MATCH($A3,Keys!$F$1:$M$1,0)),0)</f>
        <v>23.748394134552655</v>
      </c>
      <c r="N3">
        <f>IFERROR(INDEX(Calcs!$B$30:$AF$35,MATCH(About!$B$3,Calcs!$A$30:$A$35,0),MATCH(N$1,Calcs!$B$29:$AF$29,0))*INDEX(Keys!$F$2:$M$7,MATCH(About!$B$3,Keys!$E$2:$E$7,0),MATCH($A3,Keys!$F$1:$M$1,0)),0)</f>
        <v>25.361966924045646</v>
      </c>
      <c r="O3">
        <f>IFERROR(INDEX(Calcs!$B$30:$AF$35,MATCH(About!$B$3,Calcs!$A$30:$A$35,0),MATCH(O$1,Calcs!$B$29:$AF$29,0))*INDEX(Keys!$F$2:$M$7,MATCH(About!$B$3,Keys!$E$2:$E$7,0),MATCH($A3,Keys!$F$1:$M$1,0)),0)</f>
        <v>26.975539713538183</v>
      </c>
      <c r="P3">
        <f>IFERROR(INDEX(Calcs!$B$30:$AF$35,MATCH(About!$B$3,Calcs!$A$30:$A$35,0),MATCH(P$1,Calcs!$B$29:$AF$29,0))*INDEX(Keys!$F$2:$M$7,MATCH(About!$B$3,Keys!$E$2:$E$7,0),MATCH($A3,Keys!$F$1:$M$1,0)),0)</f>
        <v>28.589112503031174</v>
      </c>
      <c r="Q3">
        <f>IFERROR(INDEX(Calcs!$B$30:$AF$35,MATCH(About!$B$3,Calcs!$A$30:$A$35,0),MATCH(Q$1,Calcs!$B$29:$AF$29,0))*INDEX(Keys!$F$2:$M$7,MATCH(About!$B$3,Keys!$E$2:$E$7,0),MATCH($A3,Keys!$F$1:$M$1,0)),0)</f>
        <v>30.202685292523711</v>
      </c>
      <c r="R3">
        <f>IFERROR(INDEX(Calcs!$B$30:$AF$35,MATCH(About!$B$3,Calcs!$A$30:$A$35,0),MATCH(R$1,Calcs!$B$29:$AF$29,0))*INDEX(Keys!$F$2:$M$7,MATCH(About!$B$3,Keys!$E$2:$E$7,0),MATCH($A3,Keys!$F$1:$M$1,0)),0)</f>
        <v>31.816258082016702</v>
      </c>
      <c r="S3">
        <f>IFERROR(INDEX(Calcs!$B$30:$AF$35,MATCH(About!$B$3,Calcs!$A$30:$A$35,0),MATCH(S$1,Calcs!$B$29:$AF$29,0))*INDEX(Keys!$F$2:$M$7,MATCH(About!$B$3,Keys!$E$2:$E$7,0),MATCH($A3,Keys!$F$1:$M$1,0)),0)</f>
        <v>33.429830871509239</v>
      </c>
      <c r="T3">
        <f>IFERROR(INDEX(Calcs!$B$30:$AF$35,MATCH(About!$B$3,Calcs!$A$30:$A$35,0),MATCH(T$1,Calcs!$B$29:$AF$29,0))*INDEX(Keys!$F$2:$M$7,MATCH(About!$B$3,Keys!$E$2:$E$7,0),MATCH($A3,Keys!$F$1:$M$1,0)),0)</f>
        <v>35.04340366100223</v>
      </c>
      <c r="U3">
        <f>IFERROR(INDEX(Calcs!$B$30:$AF$35,MATCH(About!$B$3,Calcs!$A$30:$A$35,0),MATCH(U$1,Calcs!$B$29:$AF$29,0))*INDEX(Keys!$F$2:$M$7,MATCH(About!$B$3,Keys!$E$2:$E$7,0),MATCH($A3,Keys!$F$1:$M$1,0)),0)</f>
        <v>36.656976450494767</v>
      </c>
      <c r="V3">
        <f>IFERROR(INDEX(Calcs!$B$30:$AF$35,MATCH(About!$B$3,Calcs!$A$30:$A$35,0),MATCH(V$1,Calcs!$B$29:$AF$29,0))*INDEX(Keys!$F$2:$M$7,MATCH(About!$B$3,Keys!$E$2:$E$7,0),MATCH($A3,Keys!$F$1:$M$1,0)),0)</f>
        <v>38.270549239987758</v>
      </c>
      <c r="W3">
        <f>IFERROR(INDEX(Calcs!$B$30:$AF$35,MATCH(About!$B$3,Calcs!$A$30:$A$35,0),MATCH(W$1,Calcs!$B$29:$AF$29,0))*INDEX(Keys!$F$2:$M$7,MATCH(About!$B$3,Keys!$E$2:$E$7,0),MATCH($A3,Keys!$F$1:$M$1,0)),0)</f>
        <v>39.884122029480295</v>
      </c>
      <c r="X3">
        <f>IFERROR(INDEX(Calcs!$B$30:$AF$35,MATCH(About!$B$3,Calcs!$A$30:$A$35,0),MATCH(X$1,Calcs!$B$29:$AF$29,0))*INDEX(Keys!$F$2:$M$7,MATCH(About!$B$3,Keys!$E$2:$E$7,0),MATCH($A3,Keys!$F$1:$M$1,0)),0)</f>
        <v>41.497694818973287</v>
      </c>
      <c r="Y3">
        <f>IFERROR(INDEX(Calcs!$B$30:$AF$35,MATCH(About!$B$3,Calcs!$A$30:$A$35,0),MATCH(Y$1,Calcs!$B$29:$AF$29,0))*INDEX(Keys!$F$2:$M$7,MATCH(About!$B$3,Keys!$E$2:$E$7,0),MATCH($A3,Keys!$F$1:$M$1,0)),0)</f>
        <v>43.111267608465823</v>
      </c>
      <c r="Z3">
        <f>IFERROR(INDEX(Calcs!$B$30:$AF$35,MATCH(About!$B$3,Calcs!$A$30:$A$35,0),MATCH(Z$1,Calcs!$B$29:$AF$29,0))*INDEX(Keys!$F$2:$M$7,MATCH(About!$B$3,Keys!$E$2:$E$7,0),MATCH($A3,Keys!$F$1:$M$1,0)),0)</f>
        <v>44.724840397958815</v>
      </c>
      <c r="AA3">
        <f>IFERROR(INDEX(Calcs!$B$30:$AF$35,MATCH(About!$B$3,Calcs!$A$30:$A$35,0),MATCH(AA$1,Calcs!$B$29:$AF$29,0))*INDEX(Keys!$F$2:$M$7,MATCH(About!$B$3,Keys!$E$2:$E$7,0),MATCH($A3,Keys!$F$1:$M$1,0)),0)</f>
        <v>46.338413187451351</v>
      </c>
      <c r="AB3">
        <f>IFERROR(INDEX(Calcs!$B$30:$AF$35,MATCH(About!$B$3,Calcs!$A$30:$A$35,0),MATCH(AB$1,Calcs!$B$29:$AF$29,0))*INDEX(Keys!$F$2:$M$7,MATCH(About!$B$3,Keys!$E$2:$E$7,0),MATCH($A3,Keys!$F$1:$M$1,0)),0)</f>
        <v>47.951985976944343</v>
      </c>
      <c r="AC3">
        <f>IFERROR(INDEX(Calcs!$B$30:$AF$35,MATCH(About!$B$3,Calcs!$A$30:$A$35,0),MATCH(AC$1,Calcs!$B$29:$AF$29,0))*INDEX(Keys!$F$2:$M$7,MATCH(About!$B$3,Keys!$E$2:$E$7,0),MATCH($A3,Keys!$F$1:$M$1,0)),0)</f>
        <v>49.56555876643688</v>
      </c>
      <c r="AD3">
        <f>IFERROR(INDEX(Calcs!$B$30:$AF$35,MATCH(About!$B$3,Calcs!$A$30:$A$35,0),MATCH(AD$1,Calcs!$B$29:$AF$29,0))*INDEX(Keys!$F$2:$M$7,MATCH(About!$B$3,Keys!$E$2:$E$7,0),MATCH($A3,Keys!$F$1:$M$1,0)),0)</f>
        <v>51.179131555929871</v>
      </c>
      <c r="AE3">
        <f>IFERROR(INDEX(Calcs!$B$30:$AF$35,MATCH(About!$B$3,Calcs!$A$30:$A$35,0),MATCH(AE$1,Calcs!$B$29:$AF$29,0))*INDEX(Keys!$F$2:$M$7,MATCH(About!$B$3,Keys!$E$2:$E$7,0),MATCH($A3,Keys!$F$1:$M$1,0)),0)</f>
        <v>52.792704345422862</v>
      </c>
      <c r="AF3">
        <f>IFERROR(INDEX(Calcs!$B$30:$AF$35,MATCH(About!$B$3,Calcs!$A$30:$A$35,0),MATCH(AF$1,Calcs!$B$29:$AF$29,0))*INDEX(Keys!$F$2:$M$7,MATCH(About!$B$3,Keys!$E$2:$E$7,0),MATCH($A3,Keys!$F$1:$M$1,0)),0)</f>
        <v>54.406277134915399</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2026-09-02T21:46:16Z</dcterms:modified>
</cp:coreProperties>
</file>