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B4559DBB-A749-475E-90A3-DB7B1B2C6FB0}"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E45" i="9" l="1"/>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<sst xmlns="http://schemas.openxmlformats.org/spreadsheetml/2006/main" count="5677" uniqueCount="335">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</sst>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101</v>
      </c>
    </row>
    <row r="2" spans="1:2" x14ac:dyDescent="0.25">
      <c r="A2" s="3" t="s">
        <v>2</v>
      </c>
      <c r="B2" s="4" t="str">
        <f>IFERROR(INDEX(Geography!B:B, MATCH($B$1, Geography!C:C, 0)), "")</f>
        <v>MA</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3487508</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0.98578055641468121</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3648663</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1.0139801968896232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5572524</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1.0391393702782263</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708951</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0.72721664760136107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591165</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1.2829460476645806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263531</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0.77998395428266354</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1001329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0.71906136482738925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6134842</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7136171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1.0681140247954324</v>
      </c>
    </row>
    <row r="12" spans="1:28" x14ac:dyDescent="0.25">
      <c r="A12" s="4" t="s">
        <v>319</v>
      </c>
    </row>
    <row r="13" spans="1:28" x14ac:dyDescent="0.25">
      <c r="A13" s="4" t="s">
        <v>320</v>
      </c>
      <c r="B13" s="37">
        <f>INDEX(Census_pop_2020_2025!G:G, MATCH("."&amp;About!$B$1, Census_pop_2020_2025!A:A, 0))</f>
        <v>7138560</v>
      </c>
      <c r="C13" s="37">
        <f>INDEX(Census_pop_2020_2025!H:H, MATCH("."&amp;About!$B$1, Census_pop_2020_2025!A:A, 0))</f>
        <v>7154084</v>
      </c>
      <c r="D13" s="37">
        <f>INDEX(Census_pop_2020_2025!H:H, MATCH("."&amp;About!$B$1, Census_pop_2020_2025!A:A, 0))+0.2*(INDEX(Cooper_pop_2030_2050!D:D, MATCH(About!$B$1, Cooper_pop_2030_2050!B:B, 0))-INDEX(Census_pop_2020_2025!H:H, MATCH("."&amp;About!$B$1, Census_pop_2020_2025!A:A, 0)))</f>
        <v>7205146.2571557732</v>
      </c>
      <c r="E13" s="37">
        <f>INDEX(Census_pop_2020_2025!H:H, MATCH("."&amp;About!$B$1, Census_pop_2020_2025!A:A, 0))+0.4*(INDEX(Cooper_pop_2030_2050!D:D, MATCH(About!$B$1, Cooper_pop_2030_2050!B:B, 0))-INDEX(Census_pop_2020_2025!H:H, MATCH("."&amp;About!$B$1, Census_pop_2020_2025!A:A, 0)))</f>
        <v>7256208.5143115465</v>
      </c>
      <c r="F13" s="37">
        <f>INDEX(Census_pop_2020_2025!H:H, MATCH("."&amp;About!$B$1, Census_pop_2020_2025!A:A, 0))+0.6*(INDEX(Cooper_pop_2030_2050!D:D, MATCH(About!$B$1, Cooper_pop_2030_2050!B:B, 0))-INDEX(Census_pop_2020_2025!H:H, MATCH("."&amp;About!$B$1, Census_pop_2020_2025!A:A, 0)))</f>
        <v>7307270.7714673206</v>
      </c>
      <c r="G13" s="37">
        <f>INDEX(Census_pop_2020_2025!H:H, MATCH("."&amp;About!$B$1, Census_pop_2020_2025!A:A, 0))+0.8*(INDEX(Cooper_pop_2030_2050!D:D, MATCH(About!$B$1, Cooper_pop_2030_2050!B:B, 0))-INDEX(Census_pop_2020_2025!H:H, MATCH("."&amp;About!$B$1, Census_pop_2020_2025!A:A, 0)))</f>
        <v>7358333.0286230939</v>
      </c>
      <c r="H13" s="37">
        <f>INDEX(Cooper_pop_2030_2050!D:D, MATCH(About!$B$1, Cooper_pop_2030_2050!B:B, 0))</f>
        <v>7409395.2857788671</v>
      </c>
      <c r="I13" s="37">
        <f>INDEX(Cooper_pop_2030_2050!D:D, MATCH(About!$B$1, Cooper_pop_2030_2050!B:B, 0))+0.1*(INDEX(Cooper_pop_2030_2050!E:E, MATCH(About!$B$1, Cooper_pop_2030_2050!B:B, 0))-INDEX(Cooper_pop_2030_2050!D:D, MATCH(About!$B$1, Cooper_pop_2030_2050!B:B, 0)))</f>
        <v>7433303.5605832683</v>
      </c>
      <c r="J13" s="37">
        <f>INDEX(Cooper_pop_2030_2050!D:D, MATCH(About!$B$1, Cooper_pop_2030_2050!B:B, 0))+0.2*(INDEX(Cooper_pop_2030_2050!E:E, MATCH(About!$B$1, Cooper_pop_2030_2050!B:B, 0))-INDEX(Cooper_pop_2030_2050!D:D, MATCH(About!$B$1, Cooper_pop_2030_2050!B:B, 0)))</f>
        <v>7457211.8353876686</v>
      </c>
      <c r="K13" s="37">
        <f>INDEX(Cooper_pop_2030_2050!D:D, MATCH(About!$B$1, Cooper_pop_2030_2050!B:B, 0))+0.3*(INDEX(Cooper_pop_2030_2050!E:E, MATCH(About!$B$1, Cooper_pop_2030_2050!B:B, 0))-INDEX(Cooper_pop_2030_2050!D:D, MATCH(About!$B$1, Cooper_pop_2030_2050!B:B, 0)))</f>
        <v>7481120.1101920698</v>
      </c>
      <c r="L13" s="37">
        <f>INDEX(Cooper_pop_2030_2050!D:D, MATCH(About!$B$1, Cooper_pop_2030_2050!B:B, 0))+0.4*(INDEX(Cooper_pop_2030_2050!E:E, MATCH(About!$B$1, Cooper_pop_2030_2050!B:B, 0))-INDEX(Cooper_pop_2030_2050!D:D, MATCH(About!$B$1, Cooper_pop_2030_2050!B:B, 0)))</f>
        <v>7505028.384996471</v>
      </c>
      <c r="M13" s="37">
        <f>INDEX(Cooper_pop_2030_2050!D:D, MATCH(About!$B$1, Cooper_pop_2030_2050!B:B, 0))+0.5*(INDEX(Cooper_pop_2030_2050!E:E, MATCH(About!$B$1, Cooper_pop_2030_2050!B:B, 0))-INDEX(Cooper_pop_2030_2050!D:D, MATCH(About!$B$1, Cooper_pop_2030_2050!B:B, 0)))</f>
        <v>7528936.6598008722</v>
      </c>
      <c r="N13" s="37">
        <f>INDEX(Cooper_pop_2030_2050!D:D, MATCH(About!$B$1, Cooper_pop_2030_2050!B:B, 0))+0.6*(INDEX(Cooper_pop_2030_2050!E:E, MATCH(About!$B$1, Cooper_pop_2030_2050!B:B, 0))-INDEX(Cooper_pop_2030_2050!D:D, MATCH(About!$B$1, Cooper_pop_2030_2050!B:B, 0)))</f>
        <v>7552844.9346052725</v>
      </c>
      <c r="O13" s="37">
        <f>INDEX(Cooper_pop_2030_2050!D:D, MATCH(About!$B$1, Cooper_pop_2030_2050!B:B, 0))+0.7*(INDEX(Cooper_pop_2030_2050!E:E, MATCH(About!$B$1, Cooper_pop_2030_2050!B:B, 0))-INDEX(Cooper_pop_2030_2050!D:D, MATCH(About!$B$1, Cooper_pop_2030_2050!B:B, 0)))</f>
        <v>7576753.2094096737</v>
      </c>
      <c r="P13" s="37">
        <f>INDEX(Cooper_pop_2030_2050!D:D, MATCH(About!$B$1, Cooper_pop_2030_2050!B:B, 0))+0.8*(INDEX(Cooper_pop_2030_2050!E:E, MATCH(About!$B$1, Cooper_pop_2030_2050!B:B, 0))-INDEX(Cooper_pop_2030_2050!D:D, MATCH(About!$B$1, Cooper_pop_2030_2050!B:B, 0)))</f>
        <v>7600661.4842140749</v>
      </c>
      <c r="Q13" s="37">
        <f>INDEX(Cooper_pop_2030_2050!D:D, MATCH(About!$B$1, Cooper_pop_2030_2050!B:B, 0))+0.9*(INDEX(Cooper_pop_2030_2050!E:E, MATCH(About!$B$1, Cooper_pop_2030_2050!B:B, 0))-INDEX(Cooper_pop_2030_2050!D:D, MATCH(About!$B$1, Cooper_pop_2030_2050!B:B, 0)))</f>
        <v>7624569.7590184752</v>
      </c>
      <c r="R13" s="37">
        <f>INDEX(Cooper_pop_2030_2050!E:E, MATCH(About!$B$1, Cooper_pop_2030_2050!B:B, 0))</f>
        <v>7648478.0338228764</v>
      </c>
      <c r="S13" s="37">
        <f>INDEX(Cooper_pop_2030_2050!E:E, MATCH(About!$B$1, Cooper_pop_2030_2050!B:B, 0))+0.1*(INDEX(Cooper_pop_2030_2050!F:F, MATCH(About!$B$1, Cooper_pop_2030_2050!B:B, 0))-INDEX(Cooper_pop_2030_2050!E:E, MATCH(About!$B$1, Cooper_pop_2030_2050!B:B, 0)))</f>
        <v>7663906.1666591959</v>
      </c>
      <c r="T13" s="37">
        <f>INDEX(Cooper_pop_2030_2050!E:E, MATCH(About!$B$1, Cooper_pop_2030_2050!B:B, 0))+0.2*(INDEX(Cooper_pop_2030_2050!F:F, MATCH(About!$B$1, Cooper_pop_2030_2050!B:B, 0))-INDEX(Cooper_pop_2030_2050!E:E, MATCH(About!$B$1, Cooper_pop_2030_2050!B:B, 0)))</f>
        <v>7679334.2994955163</v>
      </c>
      <c r="U13" s="37">
        <f>INDEX(Cooper_pop_2030_2050!E:E, MATCH(About!$B$1, Cooper_pop_2030_2050!B:B, 0))+0.3*(INDEX(Cooper_pop_2030_2050!F:F, MATCH(About!$B$1, Cooper_pop_2030_2050!B:B, 0))-INDEX(Cooper_pop_2030_2050!E:E, MATCH(About!$B$1, Cooper_pop_2030_2050!B:B, 0)))</f>
        <v>7694762.4323318359</v>
      </c>
      <c r="V13" s="37">
        <f>INDEX(Cooper_pop_2030_2050!E:E, MATCH(About!$B$1, Cooper_pop_2030_2050!B:B, 0))+0.4*(INDEX(Cooper_pop_2030_2050!F:F, MATCH(About!$B$1, Cooper_pop_2030_2050!B:B, 0))-INDEX(Cooper_pop_2030_2050!E:E, MATCH(About!$B$1, Cooper_pop_2030_2050!B:B, 0)))</f>
        <v>7710190.5651681563</v>
      </c>
      <c r="W13" s="37">
        <f>INDEX(Cooper_pop_2030_2050!E:E, MATCH(About!$B$1, Cooper_pop_2030_2050!B:B, 0))+0.5*(INDEX(Cooper_pop_2030_2050!F:F, MATCH(About!$B$1, Cooper_pop_2030_2050!B:B, 0))-INDEX(Cooper_pop_2030_2050!E:E, MATCH(About!$B$1, Cooper_pop_2030_2050!B:B, 0)))</f>
        <v>7725618.6980044758</v>
      </c>
      <c r="X13" s="37">
        <f>INDEX(Cooper_pop_2030_2050!E:E, MATCH(About!$B$1, Cooper_pop_2030_2050!B:B, 0))+0.6*(INDEX(Cooper_pop_2030_2050!F:F, MATCH(About!$B$1, Cooper_pop_2030_2050!B:B, 0))-INDEX(Cooper_pop_2030_2050!E:E, MATCH(About!$B$1, Cooper_pop_2030_2050!B:B, 0)))</f>
        <v>7741046.8308407953</v>
      </c>
      <c r="Y13" s="37">
        <f>INDEX(Cooper_pop_2030_2050!E:E, MATCH(About!$B$1, Cooper_pop_2030_2050!B:B, 0))+0.7*(INDEX(Cooper_pop_2030_2050!F:F, MATCH(About!$B$1, Cooper_pop_2030_2050!B:B, 0))-INDEX(Cooper_pop_2030_2050!E:E, MATCH(About!$B$1, Cooper_pop_2030_2050!B:B, 0)))</f>
        <v>7756474.9636771157</v>
      </c>
      <c r="Z13" s="37">
        <f>INDEX(Cooper_pop_2030_2050!E:E, MATCH(About!$B$1, Cooper_pop_2030_2050!B:B, 0))+0.8*(INDEX(Cooper_pop_2030_2050!F:F, MATCH(About!$B$1, Cooper_pop_2030_2050!B:B, 0))-INDEX(Cooper_pop_2030_2050!E:E, MATCH(About!$B$1, Cooper_pop_2030_2050!B:B, 0)))</f>
        <v>7771903.0965134352</v>
      </c>
      <c r="AA13" s="37">
        <f>INDEX(Cooper_pop_2030_2050!E:E, MATCH(About!$B$1, Cooper_pop_2030_2050!B:B, 0))+0.9*(INDEX(Cooper_pop_2030_2050!F:F, MATCH(About!$B$1, Cooper_pop_2030_2050!B:B, 0))-INDEX(Cooper_pop_2030_2050!E:E, MATCH(About!$B$1, Cooper_pop_2030_2050!B:B, 0)))</f>
        <v>7787331.2293497557</v>
      </c>
      <c r="AB13" s="37">
        <f>INDEX(Cooper_pop_2030_2050!F:F, MATCH(About!$B$1, Cooper_pop_2030_2050!B:B, 0))</f>
        <v>7802759.3621860752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2.1215269868327762E-2</v>
      </c>
      <c r="C15" s="39">
        <f t="shared" si="1"/>
        <v>2.1164910886727492E-2</v>
      </c>
      <c r="D15" s="39">
        <f t="shared" si="1"/>
        <v>2.1222001225772558E-2</v>
      </c>
      <c r="E15" s="39">
        <f t="shared" si="1"/>
        <v>2.1281045132748221E-2</v>
      </c>
      <c r="F15" s="39">
        <f t="shared" si="1"/>
        <v>2.1342277058852183E-2</v>
      </c>
      <c r="G15" s="39">
        <f t="shared" si="1"/>
        <v>2.1405823648423687E-2</v>
      </c>
      <c r="H15" s="39">
        <f t="shared" si="1"/>
        <v>2.1471929574723776E-2</v>
      </c>
      <c r="I15" s="39">
        <f t="shared" si="1"/>
        <v>2.1462491646870474E-2</v>
      </c>
      <c r="J15" s="39">
        <f t="shared" si="1"/>
        <v>2.1456817772143252E-2</v>
      </c>
      <c r="K15" s="39">
        <f t="shared" si="1"/>
        <v>2.1454204861407689E-2</v>
      </c>
      <c r="L15" s="39">
        <f t="shared" si="1"/>
        <v>2.1454729332993888E-2</v>
      </c>
      <c r="M15" s="39">
        <f t="shared" si="1"/>
        <v>2.1458454650960586E-2</v>
      </c>
      <c r="N15" s="39">
        <f t="shared" si="1"/>
        <v>2.1465425655781998E-2</v>
      </c>
      <c r="O15" s="39">
        <f t="shared" si="1"/>
        <v>2.1475689755991269E-2</v>
      </c>
      <c r="P15" s="39">
        <f t="shared" si="1"/>
        <v>2.1489269004217663E-2</v>
      </c>
      <c r="Q15" s="39">
        <f t="shared" si="1"/>
        <v>2.1506143120247973E-2</v>
      </c>
      <c r="R15" s="39">
        <f t="shared" si="1"/>
        <v>2.1526267837837686E-2</v>
      </c>
      <c r="S15" s="39">
        <f t="shared" si="1"/>
        <v>2.1525798109025912E-2</v>
      </c>
      <c r="T15" s="39">
        <f t="shared" si="1"/>
        <v>2.1528503762482668E-2</v>
      </c>
      <c r="U15" s="39">
        <f t="shared" si="1"/>
        <v>2.1534207112368017E-2</v>
      </c>
      <c r="V15" s="39">
        <f t="shared" si="1"/>
        <v>2.1542658422423779E-2</v>
      </c>
      <c r="W15" s="39">
        <f t="shared" si="1"/>
        <v>2.1553572109963014E-2</v>
      </c>
      <c r="X15" s="39">
        <f t="shared" si="1"/>
        <v>2.1566653018848157E-2</v>
      </c>
      <c r="Y15" s="39">
        <f t="shared" si="1"/>
        <v>2.1581713827546249E-2</v>
      </c>
      <c r="Z15" s="39">
        <f t="shared" si="1"/>
        <v>2.1598473236006381E-2</v>
      </c>
      <c r="AA15" s="39">
        <f t="shared" si="1"/>
        <v>2.1616644337310358E-2</v>
      </c>
      <c r="AB15" s="39">
        <f t="shared" si="1"/>
        <v>2.1635943748033664E-2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196.81789463759313</v>
      </c>
      <c r="C48" s="37">
        <f t="shared" si="10"/>
        <v>194.86936426779937</v>
      </c>
      <c r="D48" s="37">
        <f t="shared" si="10"/>
        <v>193.8887488844982</v>
      </c>
      <c r="E48" s="37">
        <f t="shared" si="10"/>
        <v>192.91773894877946</v>
      </c>
      <c r="F48" s="37">
        <f t="shared" si="10"/>
        <v>191.91594960210057</v>
      </c>
      <c r="G48" s="37">
        <f t="shared" si="10"/>
        <v>190.88366917826505</v>
      </c>
      <c r="H48" s="37">
        <f t="shared" si="10"/>
        <v>189.82216460934148</v>
      </c>
      <c r="I48" s="37">
        <f t="shared" si="10"/>
        <v>188.15193077480319</v>
      </c>
      <c r="J48" s="37">
        <f t="shared" si="10"/>
        <v>186.36774995972925</v>
      </c>
      <c r="K48" s="37">
        <f t="shared" si="10"/>
        <v>184.63197478987476</v>
      </c>
      <c r="L48" s="37">
        <f t="shared" si="10"/>
        <v>182.79646833444684</v>
      </c>
      <c r="M48" s="37">
        <f t="shared" si="10"/>
        <v>181.00902226763714</v>
      </c>
      <c r="N48" s="37">
        <f t="shared" si="10"/>
        <v>179.29036821673625</v>
      </c>
      <c r="O48" s="37">
        <f t="shared" si="10"/>
        <v>177.34374883508903</v>
      </c>
      <c r="P48" s="37">
        <f t="shared" si="10"/>
        <v>175.48580025726159</v>
      </c>
      <c r="Q48" s="37">
        <f t="shared" si="10"/>
        <v>173.52476433160572</v>
      </c>
      <c r="R48" s="37">
        <f t="shared" si="10"/>
        <v>171.56512527809153</v>
      </c>
      <c r="S48" s="37">
        <f t="shared" si="10"/>
        <v>169.3757510592159</v>
      </c>
      <c r="T48" s="37">
        <f t="shared" si="10"/>
        <v>167.21113531149734</v>
      </c>
      <c r="U48" s="37">
        <f t="shared" si="10"/>
        <v>165.06894875553692</v>
      </c>
      <c r="V48" s="37">
        <f t="shared" si="10"/>
        <v>162.94638929580381</v>
      </c>
      <c r="W48" s="37">
        <f t="shared" si="10"/>
        <v>160.86173585844182</v>
      </c>
      <c r="X48" s="37">
        <f t="shared" si="10"/>
        <v>158.96092439102154</v>
      </c>
      <c r="Y48" s="37">
        <f t="shared" si="10"/>
        <v>157.07209842751701</v>
      </c>
      <c r="Z48" s="37">
        <f t="shared" si="10"/>
        <v>155.29914310958941</v>
      </c>
      <c r="AA48" s="37">
        <f t="shared" si="10"/>
        <v>153.55458292119081</v>
      </c>
      <c r="AB48" s="37">
        <f t="shared" si="10"/>
        <v>151.8147872000998</v>
      </c>
    </row>
    <row r="49" spans="1:28" x14ac:dyDescent="0.25">
      <c r="A49" s="4" t="s">
        <v>216</v>
      </c>
      <c r="B49" s="37">
        <f t="shared" ref="B49:AB49" si="11">B29*B15*$F$5</f>
        <v>161.42502384022367</v>
      </c>
      <c r="C49" s="37">
        <f t="shared" si="11"/>
        <v>160.16195419176574</v>
      </c>
      <c r="D49" s="37">
        <f t="shared" si="11"/>
        <v>159.71170961921368</v>
      </c>
      <c r="E49" s="37">
        <f t="shared" si="11"/>
        <v>159.24976050286094</v>
      </c>
      <c r="F49" s="37">
        <f t="shared" si="11"/>
        <v>158.7557812143086</v>
      </c>
      <c r="G49" s="37">
        <f t="shared" si="11"/>
        <v>158.27345267635545</v>
      </c>
      <c r="H49" s="37">
        <f t="shared" si="11"/>
        <v>157.78249115476106</v>
      </c>
      <c r="I49" s="37">
        <f t="shared" si="11"/>
        <v>156.62501121749892</v>
      </c>
      <c r="J49" s="37">
        <f t="shared" si="11"/>
        <v>155.56103641094145</v>
      </c>
      <c r="K49" s="37">
        <f t="shared" si="11"/>
        <v>154.38912355670297</v>
      </c>
      <c r="L49" s="37">
        <f t="shared" si="11"/>
        <v>153.28340956395002</v>
      </c>
      <c r="M49" s="37">
        <f t="shared" si="11"/>
        <v>152.06979357470524</v>
      </c>
      <c r="N49" s="37">
        <f t="shared" si="11"/>
        <v>150.76973302249363</v>
      </c>
      <c r="O49" s="37">
        <f t="shared" si="11"/>
        <v>149.60059875331777</v>
      </c>
      <c r="P49" s="37">
        <f t="shared" si="11"/>
        <v>148.23528294784049</v>
      </c>
      <c r="Q49" s="37">
        <f t="shared" si="11"/>
        <v>146.93424020016195</v>
      </c>
      <c r="R49" s="37">
        <f t="shared" si="11"/>
        <v>145.54383161579679</v>
      </c>
      <c r="S49" s="37">
        <f t="shared" si="11"/>
        <v>144.01278436564647</v>
      </c>
      <c r="T49" s="37">
        <f t="shared" si="11"/>
        <v>142.45916353341696</v>
      </c>
      <c r="U49" s="37">
        <f t="shared" si="11"/>
        <v>140.92476524968311</v>
      </c>
      <c r="V49" s="37">
        <f t="shared" si="11"/>
        <v>139.45100451918992</v>
      </c>
      <c r="W49" s="37">
        <f t="shared" si="11"/>
        <v>138.01366376730644</v>
      </c>
      <c r="X49" s="37">
        <f t="shared" si="11"/>
        <v>136.56665341901498</v>
      </c>
      <c r="Y49" s="37">
        <f t="shared" si="11"/>
        <v>135.21771666448177</v>
      </c>
      <c r="Z49" s="37">
        <f t="shared" si="11"/>
        <v>133.85539237033447</v>
      </c>
      <c r="AA49" s="37">
        <f t="shared" si="11"/>
        <v>132.56520045293294</v>
      </c>
      <c r="AB49" s="37">
        <f t="shared" si="11"/>
        <v>131.41112682412867</v>
      </c>
    </row>
    <row r="50" spans="1:28" x14ac:dyDescent="0.25">
      <c r="A50" s="4" t="s">
        <v>217</v>
      </c>
      <c r="B50" s="37">
        <f t="shared" ref="B50:AB50" si="12">B30*B15*$F$6</f>
        <v>217.32574336424895</v>
      </c>
      <c r="C50" s="37">
        <f t="shared" si="12"/>
        <v>215.38031022892628</v>
      </c>
      <c r="D50" s="37">
        <f t="shared" si="12"/>
        <v>214.54991069369652</v>
      </c>
      <c r="E50" s="37">
        <f t="shared" si="12"/>
        <v>213.68730987162309</v>
      </c>
      <c r="F50" s="37">
        <f t="shared" si="12"/>
        <v>212.81625289372235</v>
      </c>
      <c r="G50" s="37">
        <f t="shared" si="12"/>
        <v>211.95958939902567</v>
      </c>
      <c r="H50" s="37">
        <f t="shared" si="12"/>
        <v>211.02999233106908</v>
      </c>
      <c r="I50" s="37">
        <f t="shared" si="12"/>
        <v>209.376058271934</v>
      </c>
      <c r="J50" s="37">
        <f t="shared" si="12"/>
        <v>207.64846031705517</v>
      </c>
      <c r="K50" s="37">
        <f t="shared" si="12"/>
        <v>205.86195505503301</v>
      </c>
      <c r="L50" s="37">
        <f t="shared" si="12"/>
        <v>203.99425344648009</v>
      </c>
      <c r="M50" s="37">
        <f t="shared" si="12"/>
        <v>202.04512330652926</v>
      </c>
      <c r="N50" s="37">
        <f t="shared" si="12"/>
        <v>200.01403631467329</v>
      </c>
      <c r="O50" s="37">
        <f t="shared" si="12"/>
        <v>197.83342087552217</v>
      </c>
      <c r="P50" s="37">
        <f t="shared" si="12"/>
        <v>195.59149589099084</v>
      </c>
      <c r="Q50" s="37">
        <f t="shared" si="12"/>
        <v>193.26446640507206</v>
      </c>
      <c r="R50" s="37">
        <f t="shared" si="12"/>
        <v>190.8505368033087</v>
      </c>
      <c r="S50" s="37">
        <f t="shared" si="12"/>
        <v>188.1845440064879</v>
      </c>
      <c r="T50" s="37">
        <f t="shared" si="12"/>
        <v>185.54603480000625</v>
      </c>
      <c r="U50" s="37">
        <f t="shared" si="12"/>
        <v>182.93232176867875</v>
      </c>
      <c r="V50" s="37">
        <f t="shared" si="12"/>
        <v>180.36258805448119</v>
      </c>
      <c r="W50" s="37">
        <f t="shared" si="12"/>
        <v>177.87828720647005</v>
      </c>
      <c r="X50" s="37">
        <f t="shared" si="12"/>
        <v>175.49864775406354</v>
      </c>
      <c r="Y50" s="37">
        <f t="shared" si="12"/>
        <v>173.17672656272418</v>
      </c>
      <c r="Z50" s="37">
        <f t="shared" si="12"/>
        <v>170.9321626505434</v>
      </c>
      <c r="AA50" s="37">
        <f t="shared" si="12"/>
        <v>168.80723697427104</v>
      </c>
      <c r="AB50" s="37">
        <f t="shared" si="12"/>
        <v>166.75463805297954</v>
      </c>
    </row>
    <row r="51" spans="1:28" x14ac:dyDescent="0.25">
      <c r="A51" s="4" t="s">
        <v>218</v>
      </c>
      <c r="B51" s="37">
        <f t="shared" ref="B51:AB51" si="13">B31*B15*$F$7</f>
        <v>72.172639785041099</v>
      </c>
      <c r="C51" s="37">
        <f t="shared" si="13"/>
        <v>71.03165962553399</v>
      </c>
      <c r="D51" s="37">
        <f t="shared" si="13"/>
        <v>70.266415247692635</v>
      </c>
      <c r="E51" s="37">
        <f t="shared" si="13"/>
        <v>69.471451111719105</v>
      </c>
      <c r="F51" s="37">
        <f t="shared" si="13"/>
        <v>68.646990930661957</v>
      </c>
      <c r="G51" s="37">
        <f t="shared" si="13"/>
        <v>67.82398690966312</v>
      </c>
      <c r="H51" s="37">
        <f t="shared" si="13"/>
        <v>66.956025028597168</v>
      </c>
      <c r="I51" s="37">
        <f t="shared" si="13"/>
        <v>65.8652587678515</v>
      </c>
      <c r="J51" s="37">
        <f t="shared" si="13"/>
        <v>64.786791127249884</v>
      </c>
      <c r="K51" s="37">
        <f t="shared" si="13"/>
        <v>63.717975559709217</v>
      </c>
      <c r="L51" s="37">
        <f t="shared" si="13"/>
        <v>62.689785617070818</v>
      </c>
      <c r="M51" s="37">
        <f t="shared" si="13"/>
        <v>61.717559270480585</v>
      </c>
      <c r="N51" s="37">
        <f t="shared" si="13"/>
        <v>60.754177931384859</v>
      </c>
      <c r="O51" s="37">
        <f t="shared" si="13"/>
        <v>59.846179946756607</v>
      </c>
      <c r="P51" s="37">
        <f t="shared" si="13"/>
        <v>58.946379909063602</v>
      </c>
      <c r="Q51" s="37">
        <f t="shared" si="13"/>
        <v>58.085568374383065</v>
      </c>
      <c r="R51" s="37">
        <f t="shared" si="13"/>
        <v>57.247630035591634</v>
      </c>
      <c r="S51" s="37">
        <f t="shared" si="13"/>
        <v>56.354107456042343</v>
      </c>
      <c r="T51" s="37">
        <f t="shared" si="13"/>
        <v>55.484461167787913</v>
      </c>
      <c r="U51" s="37">
        <f t="shared" si="13"/>
        <v>54.622198260673677</v>
      </c>
      <c r="V51" s="37">
        <f t="shared" si="13"/>
        <v>53.797661564984026</v>
      </c>
      <c r="W51" s="37">
        <f t="shared" si="13"/>
        <v>52.96283949685462</v>
      </c>
      <c r="X51" s="37">
        <f t="shared" si="13"/>
        <v>52.163750414367207</v>
      </c>
      <c r="Y51" s="37">
        <f t="shared" si="13"/>
        <v>51.415449253328553</v>
      </c>
      <c r="Z51" s="37">
        <f t="shared" si="13"/>
        <v>50.670037761787995</v>
      </c>
      <c r="AA51" s="37">
        <f t="shared" si="13"/>
        <v>49.958107967781167</v>
      </c>
      <c r="AB51" s="37">
        <f t="shared" si="13"/>
        <v>49.24747784282777</v>
      </c>
    </row>
    <row r="52" spans="1:28" x14ac:dyDescent="0.25">
      <c r="A52" s="4" t="s">
        <v>219</v>
      </c>
      <c r="B52" s="37">
        <f t="shared" ref="B52:AB52" si="14">B32*B15*$F$8</f>
        <v>23.434738146457079</v>
      </c>
      <c r="C52" s="37">
        <f t="shared" si="14"/>
        <v>23.460571098403278</v>
      </c>
      <c r="D52" s="37">
        <f t="shared" si="14"/>
        <v>23.605533810851465</v>
      </c>
      <c r="E52" s="37">
        <f t="shared" si="14"/>
        <v>23.780418919354105</v>
      </c>
      <c r="F52" s="37">
        <f t="shared" si="14"/>
        <v>23.958366250714754</v>
      </c>
      <c r="G52" s="37">
        <f t="shared" si="14"/>
        <v>24.13955230829341</v>
      </c>
      <c r="H52" s="37">
        <f t="shared" si="14"/>
        <v>24.32428990314007</v>
      </c>
      <c r="I52" s="37">
        <f t="shared" si="14"/>
        <v>24.423739103439868</v>
      </c>
      <c r="J52" s="37">
        <f t="shared" si="14"/>
        <v>24.527394144601214</v>
      </c>
      <c r="K52" s="37">
        <f t="shared" si="14"/>
        <v>24.689554837458118</v>
      </c>
      <c r="L52" s="37">
        <f t="shared" si="14"/>
        <v>24.800259441531544</v>
      </c>
      <c r="M52" s="37">
        <f t="shared" si="14"/>
        <v>24.914685823012768</v>
      </c>
      <c r="N52" s="37">
        <f t="shared" si="14"/>
        <v>25.032935552929775</v>
      </c>
      <c r="O52" s="37">
        <f t="shared" si="14"/>
        <v>25.155114130800904</v>
      </c>
      <c r="P52" s="37">
        <f t="shared" si="14"/>
        <v>25.253728626324421</v>
      </c>
      <c r="Q52" s="37">
        <f t="shared" si="14"/>
        <v>25.383923611300471</v>
      </c>
      <c r="R52" s="37">
        <f t="shared" si="14"/>
        <v>25.462911104528242</v>
      </c>
      <c r="S52" s="37">
        <f t="shared" si="14"/>
        <v>25.545204786290459</v>
      </c>
      <c r="T52" s="37">
        <f t="shared" si="14"/>
        <v>25.658895288400338</v>
      </c>
      <c r="U52" s="37">
        <f t="shared" si="14"/>
        <v>25.72094731699924</v>
      </c>
      <c r="V52" s="37">
        <f t="shared" si="14"/>
        <v>25.813955959607053</v>
      </c>
      <c r="W52" s="37">
        <f t="shared" si="14"/>
        <v>25.909989731984158</v>
      </c>
      <c r="X52" s="37">
        <f t="shared" si="14"/>
        <v>25.981052264519679</v>
      </c>
      <c r="Y52" s="37">
        <f t="shared" si="14"/>
        <v>26.109948512836418</v>
      </c>
      <c r="Z52" s="37">
        <f t="shared" si="14"/>
        <v>26.185643700668816</v>
      </c>
      <c r="AA52" s="37">
        <f t="shared" si="14"/>
        <v>26.263140030258132</v>
      </c>
      <c r="AB52" s="37">
        <f t="shared" si="14"/>
        <v>26.3421033445623</v>
      </c>
    </row>
    <row r="53" spans="1:28" x14ac:dyDescent="0.25">
      <c r="A53" s="4" t="s">
        <v>220</v>
      </c>
      <c r="B53" s="37">
        <f t="shared" ref="B53:AB53" si="15">B33*B15*$F$9</f>
        <v>25.119211386103498</v>
      </c>
      <c r="C53" s="37">
        <f t="shared" si="15"/>
        <v>25.274193345654421</v>
      </c>
      <c r="D53" s="37">
        <f t="shared" si="15"/>
        <v>25.507896288593074</v>
      </c>
      <c r="E53" s="37">
        <f t="shared" si="15"/>
        <v>25.778050908760349</v>
      </c>
      <c r="F53" s="37">
        <f t="shared" si="15"/>
        <v>26.035335034480173</v>
      </c>
      <c r="G53" s="37">
        <f t="shared" si="15"/>
        <v>26.263120986062454</v>
      </c>
      <c r="H53" s="37">
        <f t="shared" si="15"/>
        <v>26.561948209734268</v>
      </c>
      <c r="I53" s="37">
        <f t="shared" si="15"/>
        <v>26.700936570058047</v>
      </c>
      <c r="J53" s="37">
        <f t="shared" si="15"/>
        <v>26.861237583443312</v>
      </c>
      <c r="K53" s="37">
        <f t="shared" si="15"/>
        <v>26.975104096591274</v>
      </c>
      <c r="L53" s="37">
        <f t="shared" si="15"/>
        <v>27.109638289604778</v>
      </c>
      <c r="M53" s="37">
        <f t="shared" si="15"/>
        <v>27.198031756108609</v>
      </c>
      <c r="N53" s="37">
        <f t="shared" si="15"/>
        <v>27.324066136039239</v>
      </c>
      <c r="O53" s="37">
        <f t="shared" si="15"/>
        <v>27.420885123343769</v>
      </c>
      <c r="P53" s="37">
        <f t="shared" si="15"/>
        <v>27.488507420587855</v>
      </c>
      <c r="Q53" s="37">
        <f t="shared" si="15"/>
        <v>27.52686679232416</v>
      </c>
      <c r="R53" s="37">
        <f t="shared" si="15"/>
        <v>27.569415641949362</v>
      </c>
      <c r="S53" s="37">
        <f t="shared" si="15"/>
        <v>27.56881404445237</v>
      </c>
      <c r="T53" s="37">
        <f t="shared" si="15"/>
        <v>27.505111715909809</v>
      </c>
      <c r="U53" s="37">
        <f t="shared" si="15"/>
        <v>27.478805721925145</v>
      </c>
      <c r="V53" s="37">
        <f t="shared" si="15"/>
        <v>27.42237833619917</v>
      </c>
      <c r="W53" s="37">
        <f t="shared" si="15"/>
        <v>27.369024976483647</v>
      </c>
      <c r="X53" s="37">
        <f t="shared" si="15"/>
        <v>27.351992009512692</v>
      </c>
      <c r="Y53" s="37">
        <f t="shared" si="15"/>
        <v>27.286925986569713</v>
      </c>
      <c r="Z53" s="37">
        <f t="shared" si="15"/>
        <v>27.274422886402334</v>
      </c>
      <c r="AA53" s="37">
        <f t="shared" si="15"/>
        <v>27.213066065859167</v>
      </c>
      <c r="AB53" s="37">
        <f t="shared" si="15"/>
        <v>27.203610602276452</v>
      </c>
    </row>
    <row r="54" spans="1:28" x14ac:dyDescent="0.25">
      <c r="A54" s="4" t="s">
        <v>221</v>
      </c>
      <c r="B54" s="37">
        <f t="shared" ref="B54:AB54" si="16">B34*B15*$F$10</f>
        <v>58.594765762639106</v>
      </c>
      <c r="C54" s="37">
        <f t="shared" si="16"/>
        <v>58.699180466302927</v>
      </c>
      <c r="D54" s="37">
        <f t="shared" si="16"/>
        <v>59.132194517368603</v>
      </c>
      <c r="E54" s="37">
        <f t="shared" si="16"/>
        <v>59.587457432469449</v>
      </c>
      <c r="F54" s="37">
        <f t="shared" si="16"/>
        <v>60.09652930473127</v>
      </c>
      <c r="G54" s="37">
        <f t="shared" si="16"/>
        <v>60.552524420879031</v>
      </c>
      <c r="H54" s="37">
        <f t="shared" si="16"/>
        <v>61.001997827625402</v>
      </c>
      <c r="I54" s="37">
        <f t="shared" si="16"/>
        <v>61.222110143086063</v>
      </c>
      <c r="J54" s="37">
        <f t="shared" si="16"/>
        <v>61.421928083589926</v>
      </c>
      <c r="K54" s="37">
        <f t="shared" si="16"/>
        <v>61.599571086918381</v>
      </c>
      <c r="L54" s="37">
        <f t="shared" si="16"/>
        <v>61.739922358651604</v>
      </c>
      <c r="M54" s="37">
        <f t="shared" si="16"/>
        <v>61.843222319132678</v>
      </c>
      <c r="N54" s="37">
        <f t="shared" si="16"/>
        <v>61.909617615544967</v>
      </c>
      <c r="O54" s="37">
        <f t="shared" si="16"/>
        <v>61.939220872862741</v>
      </c>
      <c r="P54" s="37">
        <f t="shared" si="16"/>
        <v>61.885672912759233</v>
      </c>
      <c r="Q54" s="37">
        <f t="shared" si="16"/>
        <v>61.795089550377824</v>
      </c>
      <c r="R54" s="37">
        <f t="shared" si="16"/>
        <v>61.620734681370806</v>
      </c>
      <c r="S54" s="37">
        <f t="shared" si="16"/>
        <v>61.387214497012685</v>
      </c>
      <c r="T54" s="37">
        <f t="shared" si="16"/>
        <v>61.100804481767945</v>
      </c>
      <c r="U54" s="37">
        <f t="shared" si="16"/>
        <v>60.760849783671254</v>
      </c>
      <c r="V54" s="37">
        <f t="shared" si="16"/>
        <v>60.428414625596588</v>
      </c>
      <c r="W54" s="37">
        <f t="shared" si="16"/>
        <v>60.025074608938695</v>
      </c>
      <c r="X54" s="37">
        <f t="shared" si="16"/>
        <v>59.704825774793008</v>
      </c>
      <c r="Y54" s="37">
        <f t="shared" si="16"/>
        <v>59.374074072172156</v>
      </c>
      <c r="Z54" s="37">
        <f t="shared" si="16"/>
        <v>59.047446299714771</v>
      </c>
      <c r="AA54" s="37">
        <f t="shared" si="16"/>
        <v>58.739618795279966</v>
      </c>
      <c r="AB54" s="37">
        <f t="shared" si="16"/>
        <v>58.465352722887715</v>
      </c>
    </row>
    <row r="55" spans="1:28" x14ac:dyDescent="0.25">
      <c r="A55" s="4" t="s">
        <v>222</v>
      </c>
      <c r="B55" s="37">
        <f t="shared" ref="B55:AB55" si="17">B35*B15*$F$11</f>
        <v>296.26111893952816</v>
      </c>
      <c r="C55" s="37">
        <f t="shared" si="17"/>
        <v>292.66424291137957</v>
      </c>
      <c r="D55" s="37">
        <f t="shared" si="17"/>
        <v>290.4842321936132</v>
      </c>
      <c r="E55" s="37">
        <f t="shared" si="17"/>
        <v>288.26925067129577</v>
      </c>
      <c r="F55" s="37">
        <f t="shared" si="17"/>
        <v>285.90724948417335</v>
      </c>
      <c r="G55" s="37">
        <f t="shared" si="17"/>
        <v>283.60332503642519</v>
      </c>
      <c r="H55" s="37">
        <f t="shared" si="17"/>
        <v>281.26832926538759</v>
      </c>
      <c r="I55" s="37">
        <f t="shared" si="17"/>
        <v>277.91235978614048</v>
      </c>
      <c r="J55" s="37">
        <f t="shared" si="17"/>
        <v>274.56156931907498</v>
      </c>
      <c r="K55" s="37">
        <f t="shared" si="17"/>
        <v>271.18246608049833</v>
      </c>
      <c r="L55" s="37">
        <f t="shared" si="17"/>
        <v>267.82042913061662</v>
      </c>
      <c r="M55" s="37">
        <f t="shared" si="17"/>
        <v>264.45184107776828</v>
      </c>
      <c r="N55" s="37">
        <f t="shared" si="17"/>
        <v>261.1215502349441</v>
      </c>
      <c r="O55" s="37">
        <f t="shared" si="17"/>
        <v>257.73682218507366</v>
      </c>
      <c r="P55" s="37">
        <f t="shared" si="17"/>
        <v>254.36503081376583</v>
      </c>
      <c r="Q55" s="37">
        <f t="shared" si="17"/>
        <v>251.00425999066366</v>
      </c>
      <c r="R55" s="37">
        <f t="shared" si="17"/>
        <v>247.67530241403591</v>
      </c>
      <c r="S55" s="37">
        <f t="shared" si="17"/>
        <v>244.0371607607274</v>
      </c>
      <c r="T55" s="37">
        <f t="shared" si="17"/>
        <v>240.4806307508083</v>
      </c>
      <c r="U55" s="37">
        <f t="shared" si="17"/>
        <v>237.04818881634665</v>
      </c>
      <c r="V55" s="37">
        <f t="shared" si="17"/>
        <v>233.6897183560923</v>
      </c>
      <c r="W55" s="37">
        <f t="shared" si="17"/>
        <v>230.51600829542795</v>
      </c>
      <c r="X55" s="37">
        <f t="shared" si="17"/>
        <v>227.40788306994665</v>
      </c>
      <c r="Y55" s="37">
        <f t="shared" si="17"/>
        <v>224.43165514159915</v>
      </c>
      <c r="Z55" s="37">
        <f t="shared" si="17"/>
        <v>221.56074743316333</v>
      </c>
      <c r="AA55" s="37">
        <f t="shared" si="17"/>
        <v>218.76866333946919</v>
      </c>
      <c r="AB55" s="37">
        <f t="shared" si="17"/>
        <v>216.07527384757421</v>
      </c>
    </row>
    <row r="57" spans="1:28" x14ac:dyDescent="0.25">
      <c r="A57" s="4" t="s">
        <v>327</v>
      </c>
    </row>
    <row r="58" spans="1:28" x14ac:dyDescent="0.25">
      <c r="A58" s="4" t="s">
        <v>215</v>
      </c>
      <c r="B58" s="37">
        <f t="shared" ref="B58:AB58" si="18">B38*B15*$F$4</f>
        <v>31210.160795630269</v>
      </c>
      <c r="C58" s="37">
        <f t="shared" si="18"/>
        <v>31703.221762480811</v>
      </c>
      <c r="D58" s="37">
        <f t="shared" si="18"/>
        <v>32352.70592211371</v>
      </c>
      <c r="E58" s="37">
        <f t="shared" si="18"/>
        <v>33005.946875496556</v>
      </c>
      <c r="F58" s="37">
        <f t="shared" si="18"/>
        <v>33665.785635879292</v>
      </c>
      <c r="G58" s="37">
        <f t="shared" si="18"/>
        <v>34333.253385162549</v>
      </c>
      <c r="H58" s="37">
        <f t="shared" si="18"/>
        <v>35006.039246472021</v>
      </c>
      <c r="I58" s="37">
        <f t="shared" si="18"/>
        <v>35552.273150961679</v>
      </c>
      <c r="J58" s="37">
        <f t="shared" si="18"/>
        <v>36093.749701711618</v>
      </c>
      <c r="K58" s="37">
        <f t="shared" si="18"/>
        <v>36629.862893996848</v>
      </c>
      <c r="L58" s="37">
        <f t="shared" si="18"/>
        <v>37157.532808773918</v>
      </c>
      <c r="M58" s="37">
        <f t="shared" si="18"/>
        <v>37676.14906425662</v>
      </c>
      <c r="N58" s="37">
        <f t="shared" si="18"/>
        <v>38181.865564413434</v>
      </c>
      <c r="O58" s="37">
        <f t="shared" si="18"/>
        <v>38673.237200457101</v>
      </c>
      <c r="P58" s="37">
        <f t="shared" si="18"/>
        <v>39145.281066174874</v>
      </c>
      <c r="Q58" s="37">
        <f t="shared" si="18"/>
        <v>39597.164001559468</v>
      </c>
      <c r="R58" s="37">
        <f t="shared" si="18"/>
        <v>40022.822769789876</v>
      </c>
      <c r="S58" s="37">
        <f t="shared" si="18"/>
        <v>40377.931333378721</v>
      </c>
      <c r="T58" s="37">
        <f t="shared" si="18"/>
        <v>40704.334639831715</v>
      </c>
      <c r="U58" s="37">
        <f t="shared" si="18"/>
        <v>41004.116095799756</v>
      </c>
      <c r="V58" s="37">
        <f t="shared" si="18"/>
        <v>41267.293305770603</v>
      </c>
      <c r="W58" s="37">
        <f t="shared" si="18"/>
        <v>41496.123700524266</v>
      </c>
      <c r="X58" s="37">
        <f t="shared" si="18"/>
        <v>41688.134906164982</v>
      </c>
      <c r="Y58" s="37">
        <f t="shared" si="18"/>
        <v>41860.341838532309</v>
      </c>
      <c r="Z58" s="37">
        <f t="shared" si="18"/>
        <v>41997.282832497607</v>
      </c>
      <c r="AA58" s="37">
        <f t="shared" si="18"/>
        <v>42101.316820110813</v>
      </c>
      <c r="AB58" s="37">
        <f t="shared" si="18"/>
        <v>42176.037570917979</v>
      </c>
    </row>
    <row r="59" spans="1:28" x14ac:dyDescent="0.25">
      <c r="A59" s="4" t="s">
        <v>216</v>
      </c>
      <c r="B59" s="37">
        <f t="shared" ref="B59:AB59" si="19">B39*B15*$F$5</f>
        <v>30166.473425049942</v>
      </c>
      <c r="C59" s="37">
        <f t="shared" si="19"/>
        <v>30563.678033982003</v>
      </c>
      <c r="D59" s="37">
        <f t="shared" si="19"/>
        <v>31113.872398062656</v>
      </c>
      <c r="E59" s="37">
        <f t="shared" si="19"/>
        <v>31683.300894560864</v>
      </c>
      <c r="F59" s="37">
        <f t="shared" si="19"/>
        <v>32281.135670606869</v>
      </c>
      <c r="G59" s="37">
        <f t="shared" si="19"/>
        <v>32909.3744636048</v>
      </c>
      <c r="H59" s="37">
        <f t="shared" si="19"/>
        <v>33571.376506297347</v>
      </c>
      <c r="I59" s="37">
        <f t="shared" si="19"/>
        <v>34139.638786615527</v>
      </c>
      <c r="J59" s="37">
        <f t="shared" si="19"/>
        <v>34734.103345601186</v>
      </c>
      <c r="K59" s="37">
        <f t="shared" si="19"/>
        <v>35345.972556159795</v>
      </c>
      <c r="L59" s="37">
        <f t="shared" si="19"/>
        <v>35974.589404203289</v>
      </c>
      <c r="M59" s="37">
        <f t="shared" si="19"/>
        <v>36617.836221449536</v>
      </c>
      <c r="N59" s="37">
        <f t="shared" si="19"/>
        <v>37267.96215220134</v>
      </c>
      <c r="O59" s="37">
        <f t="shared" si="19"/>
        <v>37917.567421513952</v>
      </c>
      <c r="P59" s="37">
        <f t="shared" si="19"/>
        <v>38565.033280509953</v>
      </c>
      <c r="Q59" s="37">
        <f t="shared" si="19"/>
        <v>39199.756848342193</v>
      </c>
      <c r="R59" s="37">
        <f t="shared" si="19"/>
        <v>39818.744937849617</v>
      </c>
      <c r="S59" s="37">
        <f t="shared" si="19"/>
        <v>40370.136043880237</v>
      </c>
      <c r="T59" s="37">
        <f t="shared" si="19"/>
        <v>40894.599042590125</v>
      </c>
      <c r="U59" s="37">
        <f t="shared" si="19"/>
        <v>41388.297805309776</v>
      </c>
      <c r="V59" s="37">
        <f t="shared" si="19"/>
        <v>41841.76712914947</v>
      </c>
      <c r="W59" s="37">
        <f t="shared" si="19"/>
        <v>42246.43050452599</v>
      </c>
      <c r="X59" s="37">
        <f t="shared" si="19"/>
        <v>42604.33476228152</v>
      </c>
      <c r="Y59" s="37">
        <f t="shared" si="19"/>
        <v>42935.137331557948</v>
      </c>
      <c r="Z59" s="37">
        <f t="shared" si="19"/>
        <v>43220.180442958423</v>
      </c>
      <c r="AA59" s="37">
        <f t="shared" si="19"/>
        <v>43452.540542907896</v>
      </c>
      <c r="AB59" s="37">
        <f t="shared" si="19"/>
        <v>43632.662405126008</v>
      </c>
    </row>
    <row r="60" spans="1:28" x14ac:dyDescent="0.25">
      <c r="A60" s="4" t="s">
        <v>217</v>
      </c>
      <c r="B60" s="37">
        <f t="shared" ref="B60:AB60" si="20">B40*B15*$F$6</f>
        <v>51679.479767593075</v>
      </c>
      <c r="C60" s="37">
        <f t="shared" si="20"/>
        <v>52419.450365426273</v>
      </c>
      <c r="D60" s="37">
        <f t="shared" si="20"/>
        <v>53415.54013603885</v>
      </c>
      <c r="E60" s="37">
        <f t="shared" si="20"/>
        <v>54425.624877581104</v>
      </c>
      <c r="F60" s="37">
        <f t="shared" si="20"/>
        <v>55461.011077561001</v>
      </c>
      <c r="G60" s="37">
        <f t="shared" si="20"/>
        <v>56522.186445838408</v>
      </c>
      <c r="H60" s="37">
        <f t="shared" si="20"/>
        <v>57611.500278965141</v>
      </c>
      <c r="I60" s="37">
        <f t="shared" si="20"/>
        <v>58509.96998493954</v>
      </c>
      <c r="J60" s="37">
        <f t="shared" si="20"/>
        <v>59421.528892314687</v>
      </c>
      <c r="K60" s="37">
        <f t="shared" si="20"/>
        <v>60335.766954720071</v>
      </c>
      <c r="L60" s="37">
        <f t="shared" si="20"/>
        <v>61249.575572433685</v>
      </c>
      <c r="M60" s="37">
        <f t="shared" si="20"/>
        <v>62160.661679121004</v>
      </c>
      <c r="N60" s="37">
        <f t="shared" si="20"/>
        <v>63057.820971065586</v>
      </c>
      <c r="O60" s="37">
        <f t="shared" si="20"/>
        <v>63934.829739093584</v>
      </c>
      <c r="P60" s="37">
        <f t="shared" si="20"/>
        <v>64783.458430093531</v>
      </c>
      <c r="Q60" s="37">
        <f t="shared" si="20"/>
        <v>65594.961082906317</v>
      </c>
      <c r="R60" s="37">
        <f t="shared" si="20"/>
        <v>66360.870103064401</v>
      </c>
      <c r="S60" s="37">
        <f t="shared" si="20"/>
        <v>67001.325258073179</v>
      </c>
      <c r="T60" s="37">
        <f t="shared" si="20"/>
        <v>67585.310959271097</v>
      </c>
      <c r="U60" s="37">
        <f t="shared" si="20"/>
        <v>68112.494826853028</v>
      </c>
      <c r="V60" s="37">
        <f t="shared" si="20"/>
        <v>68564.444977690917</v>
      </c>
      <c r="W60" s="37">
        <f t="shared" si="20"/>
        <v>68935.630506048808</v>
      </c>
      <c r="X60" s="37">
        <f t="shared" si="20"/>
        <v>69227.101123237822</v>
      </c>
      <c r="Y60" s="37">
        <f t="shared" si="20"/>
        <v>69473.80660702163</v>
      </c>
      <c r="Z60" s="37">
        <f t="shared" si="20"/>
        <v>69644.285239050179</v>
      </c>
      <c r="AA60" s="37">
        <f t="shared" si="20"/>
        <v>69733.764183182226</v>
      </c>
      <c r="AB60" s="37">
        <f t="shared" si="20"/>
        <v>69747.707262479045</v>
      </c>
    </row>
    <row r="61" spans="1:28" x14ac:dyDescent="0.25">
      <c r="A61" s="4" t="s">
        <v>218</v>
      </c>
      <c r="B61" s="37">
        <f t="shared" ref="B61:AB61" si="21">B41*B15*$F$7</f>
        <v>5579.7874295034426</v>
      </c>
      <c r="C61" s="37">
        <f t="shared" si="21"/>
        <v>5650.5185009157176</v>
      </c>
      <c r="D61" s="37">
        <f t="shared" si="21"/>
        <v>5749.7774501079193</v>
      </c>
      <c r="E61" s="37">
        <f t="shared" si="21"/>
        <v>5850.2575993774544</v>
      </c>
      <c r="F61" s="37">
        <f t="shared" si="21"/>
        <v>5953.8964668453127</v>
      </c>
      <c r="G61" s="37">
        <f t="shared" si="21"/>
        <v>6060.8990422915404</v>
      </c>
      <c r="H61" s="37">
        <f t="shared" si="21"/>
        <v>6171.165689284514</v>
      </c>
      <c r="I61" s="37">
        <f t="shared" si="21"/>
        <v>6262.1472812940947</v>
      </c>
      <c r="J61" s="37">
        <f t="shared" si="21"/>
        <v>6355.8619564237879</v>
      </c>
      <c r="K61" s="37">
        <f t="shared" si="21"/>
        <v>6451.9286829235816</v>
      </c>
      <c r="L61" s="37">
        <f t="shared" si="21"/>
        <v>6550.3804963485682</v>
      </c>
      <c r="M61" s="37">
        <f t="shared" si="21"/>
        <v>6650.9057772124343</v>
      </c>
      <c r="N61" s="37">
        <f t="shared" si="21"/>
        <v>6753.8446500439104</v>
      </c>
      <c r="O61" s="37">
        <f t="shared" si="21"/>
        <v>6857.510137051474</v>
      </c>
      <c r="P61" s="37">
        <f t="shared" si="21"/>
        <v>6962.6738839352683</v>
      </c>
      <c r="Q61" s="37">
        <f t="shared" si="21"/>
        <v>7067.9376649415908</v>
      </c>
      <c r="R61" s="37">
        <f t="shared" si="21"/>
        <v>7173.1421322939304</v>
      </c>
      <c r="S61" s="37">
        <f t="shared" si="21"/>
        <v>7270.2903646602372</v>
      </c>
      <c r="T61" s="37">
        <f t="shared" si="21"/>
        <v>7365.8283700915244</v>
      </c>
      <c r="U61" s="37">
        <f t="shared" si="21"/>
        <v>7459.8607310921143</v>
      </c>
      <c r="V61" s="37">
        <f t="shared" si="21"/>
        <v>7551.5060027731479</v>
      </c>
      <c r="W61" s="37">
        <f t="shared" si="21"/>
        <v>7639.3449218745145</v>
      </c>
      <c r="X61" s="37">
        <f t="shared" si="21"/>
        <v>7722.8385437583338</v>
      </c>
      <c r="Y61" s="37">
        <f t="shared" si="21"/>
        <v>7803.9109660952618</v>
      </c>
      <c r="Z61" s="37">
        <f t="shared" si="21"/>
        <v>7880.3845864248342</v>
      </c>
      <c r="AA61" s="37">
        <f t="shared" si="21"/>
        <v>7952.1580776921601</v>
      </c>
      <c r="AB61" s="37">
        <f t="shared" si="21"/>
        <v>8018.3704978472488</v>
      </c>
    </row>
    <row r="62" spans="1:28" x14ac:dyDescent="0.25">
      <c r="A62" s="4" t="s">
        <v>219</v>
      </c>
      <c r="B62" s="37">
        <f t="shared" ref="B62:AB62" si="22">B42*B15*$F$8</f>
        <v>3316.6006357261726</v>
      </c>
      <c r="C62" s="37">
        <f t="shared" si="22"/>
        <v>3386.6311904340896</v>
      </c>
      <c r="D62" s="37">
        <f t="shared" si="22"/>
        <v>3476.2483805096804</v>
      </c>
      <c r="E62" s="37">
        <f t="shared" si="22"/>
        <v>3571.7315539022079</v>
      </c>
      <c r="F62" s="37">
        <f t="shared" si="22"/>
        <v>3674.2002862296126</v>
      </c>
      <c r="G62" s="37">
        <f t="shared" si="22"/>
        <v>3783.6757210778528</v>
      </c>
      <c r="H62" s="37">
        <f t="shared" si="22"/>
        <v>3900.5086979108855</v>
      </c>
      <c r="I62" s="37">
        <f t="shared" si="22"/>
        <v>4010.2017353843062</v>
      </c>
      <c r="J62" s="37">
        <f t="shared" si="22"/>
        <v>4124.6763513473261</v>
      </c>
      <c r="K62" s="37">
        <f t="shared" si="22"/>
        <v>4243.1353340388723</v>
      </c>
      <c r="L62" s="37">
        <f t="shared" si="22"/>
        <v>4366.689854143051</v>
      </c>
      <c r="M62" s="37">
        <f t="shared" si="22"/>
        <v>4494.5267323527532</v>
      </c>
      <c r="N62" s="37">
        <f t="shared" si="22"/>
        <v>4626.108521367828</v>
      </c>
      <c r="O62" s="37">
        <f t="shared" si="22"/>
        <v>4760.6535655188345</v>
      </c>
      <c r="P62" s="37">
        <f t="shared" si="22"/>
        <v>4897.7621661519206</v>
      </c>
      <c r="Q62" s="37">
        <f t="shared" si="22"/>
        <v>5036.5291303591302</v>
      </c>
      <c r="R62" s="37">
        <f t="shared" si="22"/>
        <v>5176.5104062057144</v>
      </c>
      <c r="S62" s="37">
        <f t="shared" si="22"/>
        <v>5310.9723490390179</v>
      </c>
      <c r="T62" s="37">
        <f t="shared" si="22"/>
        <v>5445.5964616271131</v>
      </c>
      <c r="U62" s="37">
        <f t="shared" si="22"/>
        <v>5579.2077624905778</v>
      </c>
      <c r="V62" s="37">
        <f t="shared" si="22"/>
        <v>5711.9872506723232</v>
      </c>
      <c r="W62" s="37">
        <f t="shared" si="22"/>
        <v>5843.5460727020491</v>
      </c>
      <c r="X62" s="37">
        <f t="shared" si="22"/>
        <v>5974.3692536359385</v>
      </c>
      <c r="Y62" s="37">
        <f t="shared" si="22"/>
        <v>6104.0518762400616</v>
      </c>
      <c r="Z62" s="37">
        <f t="shared" si="22"/>
        <v>6232.7651039525254</v>
      </c>
      <c r="AA62" s="37">
        <f t="shared" si="22"/>
        <v>6360.4222283416584</v>
      </c>
      <c r="AB62" s="37">
        <f t="shared" si="22"/>
        <v>6486.541704921704</v>
      </c>
    </row>
    <row r="63" spans="1:28" x14ac:dyDescent="0.25">
      <c r="A63" s="4" t="s">
        <v>220</v>
      </c>
      <c r="B63" s="37">
        <f t="shared" ref="B63:AB63" si="23">B43*B15*$F$9</f>
        <v>1107.5785083702669</v>
      </c>
      <c r="C63" s="37">
        <f t="shared" si="23"/>
        <v>1129.3817043476524</v>
      </c>
      <c r="D63" s="37">
        <f t="shared" si="23"/>
        <v>1157.8863421696133</v>
      </c>
      <c r="E63" s="37">
        <f t="shared" si="23"/>
        <v>1188.7781390750795</v>
      </c>
      <c r="F63" s="37">
        <f t="shared" si="23"/>
        <v>1220.1150136523172</v>
      </c>
      <c r="G63" s="37">
        <f t="shared" si="23"/>
        <v>1253.6507961598763</v>
      </c>
      <c r="H63" s="37">
        <f t="shared" si="23"/>
        <v>1288.2712359326479</v>
      </c>
      <c r="I63" s="37">
        <f t="shared" si="23"/>
        <v>1318.9258241662465</v>
      </c>
      <c r="J63" s="37">
        <f t="shared" si="23"/>
        <v>1350.3085557289451</v>
      </c>
      <c r="K63" s="37">
        <f t="shared" si="23"/>
        <v>1383.8797355359811</v>
      </c>
      <c r="L63" s="37">
        <f t="shared" si="23"/>
        <v>1418.319378540403</v>
      </c>
      <c r="M63" s="37">
        <f t="shared" si="23"/>
        <v>1454.0653580576563</v>
      </c>
      <c r="N63" s="37">
        <f t="shared" si="23"/>
        <v>1490.4842767332239</v>
      </c>
      <c r="O63" s="37">
        <f t="shared" si="23"/>
        <v>1527.6967410013428</v>
      </c>
      <c r="P63" s="37">
        <f t="shared" si="23"/>
        <v>1566.1074264329552</v>
      </c>
      <c r="Q63" s="37">
        <f t="shared" si="23"/>
        <v>1605.5158284137294</v>
      </c>
      <c r="R63" s="37">
        <f t="shared" si="23"/>
        <v>1645.6187554708274</v>
      </c>
      <c r="S63" s="37">
        <f t="shared" si="23"/>
        <v>1684.065015286666</v>
      </c>
      <c r="T63" s="37">
        <f t="shared" si="23"/>
        <v>1723.0995352430311</v>
      </c>
      <c r="U63" s="37">
        <f t="shared" si="23"/>
        <v>1762.2715747826319</v>
      </c>
      <c r="V63" s="37">
        <f t="shared" si="23"/>
        <v>1801.0722359684539</v>
      </c>
      <c r="W63" s="37">
        <f t="shared" si="23"/>
        <v>1840.6005525493317</v>
      </c>
      <c r="X63" s="37">
        <f t="shared" si="23"/>
        <v>1879.9700338198825</v>
      </c>
      <c r="Y63" s="37">
        <f t="shared" si="23"/>
        <v>1919.713518420964</v>
      </c>
      <c r="Z63" s="37">
        <f t="shared" si="23"/>
        <v>1959.0919776915466</v>
      </c>
      <c r="AA63" s="37">
        <f t="shared" si="23"/>
        <v>1998.3899890891523</v>
      </c>
      <c r="AB63" s="37">
        <f t="shared" si="23"/>
        <v>2037.9081987164423</v>
      </c>
    </row>
    <row r="64" spans="1:28" x14ac:dyDescent="0.25">
      <c r="A64" s="4" t="s">
        <v>221</v>
      </c>
      <c r="B64" s="37">
        <f t="shared" ref="B64:AB64" si="24">B44*B15*$F$10</f>
        <v>3815.14318395689</v>
      </c>
      <c r="C64" s="37">
        <f t="shared" si="24"/>
        <v>3940.3023373995402</v>
      </c>
      <c r="D64" s="37">
        <f t="shared" si="24"/>
        <v>4088.0871005469671</v>
      </c>
      <c r="E64" s="37">
        <f t="shared" si="24"/>
        <v>4240.196951667358</v>
      </c>
      <c r="F64" s="37">
        <f t="shared" si="24"/>
        <v>4396.7302219806443</v>
      </c>
      <c r="G64" s="37">
        <f t="shared" si="24"/>
        <v>4558.2782898059986</v>
      </c>
      <c r="H64" s="37">
        <f t="shared" si="24"/>
        <v>4726.3965013896523</v>
      </c>
      <c r="I64" s="37">
        <f t="shared" si="24"/>
        <v>4883.385396611151</v>
      </c>
      <c r="J64" s="37">
        <f t="shared" si="24"/>
        <v>5044.8370653252696</v>
      </c>
      <c r="K64" s="37">
        <f t="shared" si="24"/>
        <v>5211.9438749244173</v>
      </c>
      <c r="L64" s="37">
        <f t="shared" si="24"/>
        <v>5385.6280398702047</v>
      </c>
      <c r="M64" s="37">
        <f t="shared" si="24"/>
        <v>5564.6093232298035</v>
      </c>
      <c r="N64" s="37">
        <f t="shared" si="24"/>
        <v>5750.3708777759548</v>
      </c>
      <c r="O64" s="37">
        <f t="shared" si="24"/>
        <v>5941.9957723224525</v>
      </c>
      <c r="P64" s="37">
        <f t="shared" si="24"/>
        <v>6139.2596302860065</v>
      </c>
      <c r="Q64" s="37">
        <f t="shared" si="24"/>
        <v>6342.4710805837985</v>
      </c>
      <c r="R64" s="37">
        <f t="shared" si="24"/>
        <v>6550.3878039701758</v>
      </c>
      <c r="S64" s="37">
        <f t="shared" si="24"/>
        <v>6755.5654416667112</v>
      </c>
      <c r="T64" s="37">
        <f t="shared" si="24"/>
        <v>6964.9344195708127</v>
      </c>
      <c r="U64" s="37">
        <f t="shared" si="24"/>
        <v>7178.0489528076832</v>
      </c>
      <c r="V64" s="37">
        <f t="shared" si="24"/>
        <v>7393.9687655302851</v>
      </c>
      <c r="W64" s="37">
        <f t="shared" si="24"/>
        <v>7611.6847063293189</v>
      </c>
      <c r="X64" s="37">
        <f t="shared" si="24"/>
        <v>7832.1255683782101</v>
      </c>
      <c r="Y64" s="37">
        <f t="shared" si="24"/>
        <v>8053.7222539094091</v>
      </c>
      <c r="Z64" s="37">
        <f t="shared" si="24"/>
        <v>8276.3646548647557</v>
      </c>
      <c r="AA64" s="37">
        <f t="shared" si="24"/>
        <v>8498.1881567411001</v>
      </c>
      <c r="AB64" s="37">
        <f t="shared" si="24"/>
        <v>8718.9452080470164</v>
      </c>
    </row>
    <row r="65" spans="1:28" x14ac:dyDescent="0.25">
      <c r="A65" s="4" t="s">
        <v>222</v>
      </c>
      <c r="B65" s="37">
        <f t="shared" ref="B65:AB65" si="25">B45*B15*$F$11</f>
        <v>59926.73108990609</v>
      </c>
      <c r="C65" s="37">
        <f t="shared" si="25"/>
        <v>60693.468466120736</v>
      </c>
      <c r="D65" s="37">
        <f t="shared" si="25"/>
        <v>61757.242442085037</v>
      </c>
      <c r="E65" s="37">
        <f t="shared" si="25"/>
        <v>62838.92336960289</v>
      </c>
      <c r="F65" s="37">
        <f t="shared" si="25"/>
        <v>63951.10530726095</v>
      </c>
      <c r="G65" s="37">
        <f t="shared" si="25"/>
        <v>65096.131503900506</v>
      </c>
      <c r="H65" s="37">
        <f t="shared" si="25"/>
        <v>66272.726294170163</v>
      </c>
      <c r="I65" s="37">
        <f t="shared" si="25"/>
        <v>67229.986880067459</v>
      </c>
      <c r="J65" s="37">
        <f t="shared" si="25"/>
        <v>68203.064795065351</v>
      </c>
      <c r="K65" s="37">
        <f t="shared" si="25"/>
        <v>69180.26493405462</v>
      </c>
      <c r="L65" s="37">
        <f t="shared" si="25"/>
        <v>70156.188166026128</v>
      </c>
      <c r="M65" s="37">
        <f t="shared" si="25"/>
        <v>71129.844104261661</v>
      </c>
      <c r="N65" s="37">
        <f t="shared" si="25"/>
        <v>72086.697651443537</v>
      </c>
      <c r="O65" s="37">
        <f t="shared" si="25"/>
        <v>73018.75020701834</v>
      </c>
      <c r="P65" s="37">
        <f t="shared" si="25"/>
        <v>73919.230812539434</v>
      </c>
      <c r="Q65" s="37">
        <f t="shared" si="25"/>
        <v>74775.609333739209</v>
      </c>
      <c r="R65" s="37">
        <f t="shared" si="25"/>
        <v>75580.008515848254</v>
      </c>
      <c r="S65" s="37">
        <f t="shared" si="25"/>
        <v>76240.827963530246</v>
      </c>
      <c r="T65" s="37">
        <f t="shared" si="25"/>
        <v>76835.952994150619</v>
      </c>
      <c r="U65" s="37">
        <f t="shared" si="25"/>
        <v>77364.26227434208</v>
      </c>
      <c r="V65" s="37">
        <f t="shared" si="25"/>
        <v>77806.365854236807</v>
      </c>
      <c r="W65" s="37">
        <f t="shared" si="25"/>
        <v>78157.174342002574</v>
      </c>
      <c r="X65" s="37">
        <f t="shared" si="25"/>
        <v>78414.785318753216</v>
      </c>
      <c r="Y65" s="37">
        <f t="shared" si="25"/>
        <v>78620.672476107822</v>
      </c>
      <c r="Z65" s="37">
        <f t="shared" si="25"/>
        <v>78738.592471071519</v>
      </c>
      <c r="AA65" s="37">
        <f t="shared" si="25"/>
        <v>78766.577822709805</v>
      </c>
      <c r="AB65" s="37">
        <f t="shared" si="25"/>
        <v>78709.358695149072</v>
      </c>
    </row>
    <row r="67" spans="1:28" x14ac:dyDescent="0.25">
      <c r="A67" s="4" t="s">
        <v>328</v>
      </c>
    </row>
    <row r="68" spans="1:28" x14ac:dyDescent="0.25">
      <c r="A68" s="4" t="s">
        <v>329</v>
      </c>
      <c r="B68" s="40">
        <f t="shared" ref="B68:AB68" si="26">B48+B49</f>
        <v>358.24291847781683</v>
      </c>
      <c r="C68" s="40">
        <f t="shared" si="26"/>
        <v>355.03131845956511</v>
      </c>
      <c r="D68" s="40">
        <f t="shared" si="26"/>
        <v>353.60045850371188</v>
      </c>
      <c r="E68" s="40">
        <f t="shared" si="26"/>
        <v>352.16749945164042</v>
      </c>
      <c r="F68" s="40">
        <f t="shared" si="26"/>
        <v>350.67173081640919</v>
      </c>
      <c r="G68" s="40">
        <f t="shared" si="26"/>
        <v>349.15712185462053</v>
      </c>
      <c r="H68" s="40">
        <f t="shared" si="26"/>
        <v>347.60465576410252</v>
      </c>
      <c r="I68" s="40">
        <f t="shared" si="26"/>
        <v>344.77694199230211</v>
      </c>
      <c r="J68" s="40">
        <f t="shared" si="26"/>
        <v>341.92878637067071</v>
      </c>
      <c r="K68" s="40">
        <f t="shared" si="26"/>
        <v>339.02109834657773</v>
      </c>
      <c r="L68" s="40">
        <f t="shared" si="26"/>
        <v>336.07987789839683</v>
      </c>
      <c r="M68" s="40">
        <f t="shared" si="26"/>
        <v>333.07881584234235</v>
      </c>
      <c r="N68" s="40">
        <f t="shared" si="26"/>
        <v>330.06010123922988</v>
      </c>
      <c r="O68" s="40">
        <f t="shared" si="26"/>
        <v>326.9443475884068</v>
      </c>
      <c r="P68" s="40">
        <f t="shared" si="26"/>
        <v>323.7210832051021</v>
      </c>
      <c r="Q68" s="40">
        <f t="shared" si="26"/>
        <v>320.45900453176768</v>
      </c>
      <c r="R68" s="40">
        <f t="shared" si="26"/>
        <v>317.10895689388832</v>
      </c>
      <c r="S68" s="40">
        <f t="shared" si="26"/>
        <v>313.38853542486237</v>
      </c>
      <c r="T68" s="40">
        <f t="shared" si="26"/>
        <v>309.67029884491433</v>
      </c>
      <c r="U68" s="40">
        <f t="shared" si="26"/>
        <v>305.99371400522</v>
      </c>
      <c r="V68" s="40">
        <f t="shared" si="26"/>
        <v>302.39739381499373</v>
      </c>
      <c r="W68" s="40">
        <f t="shared" si="26"/>
        <v>298.87539962574829</v>
      </c>
      <c r="X68" s="40">
        <f t="shared" si="26"/>
        <v>295.52757781003652</v>
      </c>
      <c r="Y68" s="40">
        <f t="shared" si="26"/>
        <v>292.28981509199878</v>
      </c>
      <c r="Z68" s="40">
        <f t="shared" si="26"/>
        <v>289.15453547992388</v>
      </c>
      <c r="AA68" s="40">
        <f t="shared" si="26"/>
        <v>286.11978337412376</v>
      </c>
      <c r="AB68" s="40">
        <f t="shared" si="26"/>
        <v>283.22591402422847</v>
      </c>
    </row>
    <row r="69" spans="1:28" x14ac:dyDescent="0.25">
      <c r="A69" s="4" t="s">
        <v>330</v>
      </c>
      <c r="B69" s="40">
        <f t="shared" ref="B69:AB69" si="27">B50+B51+B52+B53</f>
        <v>338.0523326818506</v>
      </c>
      <c r="C69" s="40">
        <f t="shared" si="27"/>
        <v>335.14673429851797</v>
      </c>
      <c r="D69" s="40">
        <f t="shared" si="27"/>
        <v>333.92975604083369</v>
      </c>
      <c r="E69" s="40">
        <f t="shared" si="27"/>
        <v>332.71723081145666</v>
      </c>
      <c r="F69" s="40">
        <f t="shared" si="27"/>
        <v>331.45694510957924</v>
      </c>
      <c r="G69" s="40">
        <f t="shared" si="27"/>
        <v>330.18624960304464</v>
      </c>
      <c r="H69" s="40">
        <f t="shared" si="27"/>
        <v>328.87225547254059</v>
      </c>
      <c r="I69" s="40">
        <f t="shared" si="27"/>
        <v>326.36599271328339</v>
      </c>
      <c r="J69" s="40">
        <f t="shared" si="27"/>
        <v>323.82388317234955</v>
      </c>
      <c r="K69" s="40">
        <f t="shared" si="27"/>
        <v>321.24458954879162</v>
      </c>
      <c r="L69" s="40">
        <f t="shared" si="27"/>
        <v>318.59393679468724</v>
      </c>
      <c r="M69" s="40">
        <f t="shared" si="27"/>
        <v>315.87540015613121</v>
      </c>
      <c r="N69" s="40">
        <f t="shared" si="27"/>
        <v>313.12521593502714</v>
      </c>
      <c r="O69" s="40">
        <f t="shared" si="27"/>
        <v>310.25560007642343</v>
      </c>
      <c r="P69" s="40">
        <f t="shared" si="27"/>
        <v>307.28011184696669</v>
      </c>
      <c r="Q69" s="40">
        <f t="shared" si="27"/>
        <v>304.2608251830797</v>
      </c>
      <c r="R69" s="40">
        <f t="shared" si="27"/>
        <v>301.13049358537796</v>
      </c>
      <c r="S69" s="40">
        <f t="shared" si="27"/>
        <v>297.6526702932731</v>
      </c>
      <c r="T69" s="40">
        <f t="shared" si="27"/>
        <v>294.19450297210432</v>
      </c>
      <c r="U69" s="40">
        <f t="shared" si="27"/>
        <v>290.7542730682768</v>
      </c>
      <c r="V69" s="40">
        <f t="shared" si="27"/>
        <v>287.39658391527144</v>
      </c>
      <c r="W69" s="40">
        <f t="shared" si="27"/>
        <v>284.12014141179253</v>
      </c>
      <c r="X69" s="40">
        <f t="shared" si="27"/>
        <v>280.99544244246312</v>
      </c>
      <c r="Y69" s="40">
        <f t="shared" si="27"/>
        <v>277.98905031545883</v>
      </c>
      <c r="Z69" s="40">
        <f t="shared" si="27"/>
        <v>275.06226699940254</v>
      </c>
      <c r="AA69" s="40">
        <f t="shared" si="27"/>
        <v>272.24155103816952</v>
      </c>
      <c r="AB69" s="40">
        <f t="shared" si="27"/>
        <v>269.54782984264608</v>
      </c>
    </row>
    <row r="70" spans="1:28" x14ac:dyDescent="0.25">
      <c r="A70" s="4" t="s">
        <v>331</v>
      </c>
      <c r="B70" s="40">
        <f t="shared" ref="B70:AB70" si="28">B54+B55</f>
        <v>354.85588470216726</v>
      </c>
      <c r="C70" s="40">
        <f t="shared" si="28"/>
        <v>351.36342337768252</v>
      </c>
      <c r="D70" s="40">
        <f t="shared" si="28"/>
        <v>349.61642671098178</v>
      </c>
      <c r="E70" s="40">
        <f t="shared" si="28"/>
        <v>347.85670810376519</v>
      </c>
      <c r="F70" s="40">
        <f t="shared" si="28"/>
        <v>346.00377878890464</v>
      </c>
      <c r="G70" s="40">
        <f t="shared" si="28"/>
        <v>344.15584945730421</v>
      </c>
      <c r="H70" s="40">
        <f t="shared" si="28"/>
        <v>342.27032709301301</v>
      </c>
      <c r="I70" s="40">
        <f t="shared" si="28"/>
        <v>339.13446992922655</v>
      </c>
      <c r="J70" s="40">
        <f t="shared" si="28"/>
        <v>335.98349740266491</v>
      </c>
      <c r="K70" s="40">
        <f t="shared" si="28"/>
        <v>332.78203716741672</v>
      </c>
      <c r="L70" s="40">
        <f t="shared" si="28"/>
        <v>329.56035148926821</v>
      </c>
      <c r="M70" s="40">
        <f t="shared" si="28"/>
        <v>326.29506339690096</v>
      </c>
      <c r="N70" s="40">
        <f t="shared" si="28"/>
        <v>323.03116785048906</v>
      </c>
      <c r="O70" s="40">
        <f t="shared" si="28"/>
        <v>319.6760430579364</v>
      </c>
      <c r="P70" s="40">
        <f t="shared" si="28"/>
        <v>316.25070372652505</v>
      </c>
      <c r="Q70" s="40">
        <f t="shared" si="28"/>
        <v>312.79934954104147</v>
      </c>
      <c r="R70" s="40">
        <f t="shared" si="28"/>
        <v>309.29603709540675</v>
      </c>
      <c r="S70" s="40">
        <f t="shared" si="28"/>
        <v>305.42437525774011</v>
      </c>
      <c r="T70" s="40">
        <f t="shared" si="28"/>
        <v>301.58143523257627</v>
      </c>
      <c r="U70" s="40">
        <f t="shared" si="28"/>
        <v>297.80903860001791</v>
      </c>
      <c r="V70" s="40">
        <f t="shared" si="28"/>
        <v>294.11813298168886</v>
      </c>
      <c r="W70" s="40">
        <f t="shared" si="28"/>
        <v>290.54108290436665</v>
      </c>
      <c r="X70" s="40">
        <f t="shared" si="28"/>
        <v>287.11270884473964</v>
      </c>
      <c r="Y70" s="40">
        <f t="shared" si="28"/>
        <v>283.80572921377131</v>
      </c>
      <c r="Z70" s="40">
        <f t="shared" si="28"/>
        <v>280.60819373287808</v>
      </c>
      <c r="AA70" s="40">
        <f t="shared" si="28"/>
        <v>277.50828213474915</v>
      </c>
      <c r="AB70" s="40">
        <f t="shared" si="28"/>
        <v>274.54062657046194</v>
      </c>
    </row>
    <row r="71" spans="1:28" x14ac:dyDescent="0.25">
      <c r="A71" s="4" t="s">
        <v>332</v>
      </c>
      <c r="B71" s="40">
        <f t="shared" ref="B71:AB71" si="29">B58+B59</f>
        <v>61376.634220680207</v>
      </c>
      <c r="C71" s="40">
        <f t="shared" si="29"/>
        <v>62266.899796462814</v>
      </c>
      <c r="D71" s="40">
        <f t="shared" si="29"/>
        <v>63466.57832017637</v>
      </c>
      <c r="E71" s="40">
        <f t="shared" si="29"/>
        <v>64689.247770057424</v>
      </c>
      <c r="F71" s="40">
        <f t="shared" si="29"/>
        <v>65946.921306486154</v>
      </c>
      <c r="G71" s="40">
        <f t="shared" si="29"/>
        <v>67242.627848767355</v>
      </c>
      <c r="H71" s="40">
        <f t="shared" si="29"/>
        <v>68577.415752769361</v>
      </c>
      <c r="I71" s="40">
        <f t="shared" si="29"/>
        <v>69691.911937577213</v>
      </c>
      <c r="J71" s="40">
        <f t="shared" si="29"/>
        <v>70827.853047312805</v>
      </c>
      <c r="K71" s="40">
        <f t="shared" si="29"/>
        <v>71975.83545015665</v>
      </c>
      <c r="L71" s="40">
        <f t="shared" si="29"/>
        <v>73132.122212977207</v>
      </c>
      <c r="M71" s="40">
        <f t="shared" si="29"/>
        <v>74293.985285706149</v>
      </c>
      <c r="N71" s="40">
        <f t="shared" si="29"/>
        <v>75449.827716614775</v>
      </c>
      <c r="O71" s="40">
        <f t="shared" si="29"/>
        <v>76590.804621971052</v>
      </c>
      <c r="P71" s="40">
        <f t="shared" si="29"/>
        <v>77710.314346684827</v>
      </c>
      <c r="Q71" s="40">
        <f t="shared" si="29"/>
        <v>78796.920849901653</v>
      </c>
      <c r="R71" s="40">
        <f t="shared" si="29"/>
        <v>79841.567707639493</v>
      </c>
      <c r="S71" s="40">
        <f t="shared" si="29"/>
        <v>80748.067377258965</v>
      </c>
      <c r="T71" s="40">
        <f t="shared" si="29"/>
        <v>81598.933682421834</v>
      </c>
      <c r="U71" s="40">
        <f t="shared" si="29"/>
        <v>82392.413901109539</v>
      </c>
      <c r="V71" s="40">
        <f t="shared" si="29"/>
        <v>83109.060434920073</v>
      </c>
      <c r="W71" s="40">
        <f t="shared" si="29"/>
        <v>83742.554205050255</v>
      </c>
      <c r="X71" s="40">
        <f t="shared" si="29"/>
        <v>84292.469668446502</v>
      </c>
      <c r="Y71" s="40">
        <f t="shared" si="29"/>
        <v>84795.479170090257</v>
      </c>
      <c r="Z71" s="40">
        <f t="shared" si="29"/>
        <v>85217.46327545603</v>
      </c>
      <c r="AA71" s="40">
        <f t="shared" si="29"/>
        <v>85553.857363018702</v>
      </c>
      <c r="AB71" s="40">
        <f t="shared" si="29"/>
        <v>85808.699976043979</v>
      </c>
    </row>
    <row r="72" spans="1:28" x14ac:dyDescent="0.25">
      <c r="A72" s="4" t="s">
        <v>333</v>
      </c>
      <c r="B72" s="40">
        <f t="shared" ref="B72:AB72" si="30">B60+B61+B62+B63</f>
        <v>61683.446341192954</v>
      </c>
      <c r="C72" s="40">
        <f t="shared" si="30"/>
        <v>62585.981761123738</v>
      </c>
      <c r="D72" s="40">
        <f t="shared" si="30"/>
        <v>63799.452308826061</v>
      </c>
      <c r="E72" s="40">
        <f t="shared" si="30"/>
        <v>65036.392169935847</v>
      </c>
      <c r="F72" s="40">
        <f t="shared" si="30"/>
        <v>66309.222844288248</v>
      </c>
      <c r="G72" s="40">
        <f t="shared" si="30"/>
        <v>67620.412005367689</v>
      </c>
      <c r="H72" s="40">
        <f t="shared" si="30"/>
        <v>68971.445902093197</v>
      </c>
      <c r="I72" s="40">
        <f t="shared" si="30"/>
        <v>70101.24482578419</v>
      </c>
      <c r="J72" s="40">
        <f t="shared" si="30"/>
        <v>71252.375755814748</v>
      </c>
      <c r="K72" s="40">
        <f t="shared" si="30"/>
        <v>72414.710707218517</v>
      </c>
      <c r="L72" s="40">
        <f t="shared" si="30"/>
        <v>73584.965301465709</v>
      </c>
      <c r="M72" s="40">
        <f t="shared" si="30"/>
        <v>74760.159546743846</v>
      </c>
      <c r="N72" s="40">
        <f t="shared" si="30"/>
        <v>75928.258419210557</v>
      </c>
      <c r="O72" s="40">
        <f t="shared" si="30"/>
        <v>77080.690182665232</v>
      </c>
      <c r="P72" s="40">
        <f t="shared" si="30"/>
        <v>78210.001906613674</v>
      </c>
      <c r="Q72" s="40">
        <f t="shared" si="30"/>
        <v>79304.943706620776</v>
      </c>
      <c r="R72" s="40">
        <f t="shared" si="30"/>
        <v>80356.14139703488</v>
      </c>
      <c r="S72" s="40">
        <f t="shared" si="30"/>
        <v>81266.652987059104</v>
      </c>
      <c r="T72" s="40">
        <f t="shared" si="30"/>
        <v>82119.835326232758</v>
      </c>
      <c r="U72" s="40">
        <f t="shared" si="30"/>
        <v>82913.834895218359</v>
      </c>
      <c r="V72" s="40">
        <f t="shared" si="30"/>
        <v>83629.010467104847</v>
      </c>
      <c r="W72" s="40">
        <f t="shared" si="30"/>
        <v>84259.122053174709</v>
      </c>
      <c r="X72" s="40">
        <f t="shared" si="30"/>
        <v>84804.278954451991</v>
      </c>
      <c r="Y72" s="40">
        <f t="shared" si="30"/>
        <v>85301.48296777792</v>
      </c>
      <c r="Z72" s="40">
        <f t="shared" si="30"/>
        <v>85716.526907119071</v>
      </c>
      <c r="AA72" s="40">
        <f t="shared" si="30"/>
        <v>86044.734478305196</v>
      </c>
      <c r="AB72" s="40">
        <f t="shared" si="30"/>
        <v>86290.527663964443</v>
      </c>
    </row>
    <row r="73" spans="1:28" x14ac:dyDescent="0.25">
      <c r="A73" s="4" t="s">
        <v>334</v>
      </c>
      <c r="B73" s="40">
        <f t="shared" ref="B73:AB73" si="31">B64+B65</f>
        <v>63741.874273862981</v>
      </c>
      <c r="C73" s="40">
        <f t="shared" si="31"/>
        <v>64633.770803520274</v>
      </c>
      <c r="D73" s="40">
        <f t="shared" si="31"/>
        <v>65845.329542632011</v>
      </c>
      <c r="E73" s="40">
        <f t="shared" si="31"/>
        <v>67079.120321270253</v>
      </c>
      <c r="F73" s="40">
        <f t="shared" si="31"/>
        <v>68347.835529241594</v>
      </c>
      <c r="G73" s="40">
        <f t="shared" si="31"/>
        <v>69654.409793706509</v>
      </c>
      <c r="H73" s="40">
        <f t="shared" si="31"/>
        <v>70999.122795559815</v>
      </c>
      <c r="I73" s="40">
        <f t="shared" si="31"/>
        <v>72113.372276678609</v>
      </c>
      <c r="J73" s="40">
        <f t="shared" si="31"/>
        <v>73247.901860390615</v>
      </c>
      <c r="K73" s="40">
        <f t="shared" si="31"/>
        <v>74392.208808979034</v>
      </c>
      <c r="L73" s="40">
        <f t="shared" si="31"/>
        <v>75541.816205896335</v>
      </c>
      <c r="M73" s="40">
        <f t="shared" si="31"/>
        <v>76694.453427491462</v>
      </c>
      <c r="N73" s="40">
        <f t="shared" si="31"/>
        <v>77837.068529219498</v>
      </c>
      <c r="O73" s="40">
        <f t="shared" si="31"/>
        <v>78960.745979340791</v>
      </c>
      <c r="P73" s="40">
        <f t="shared" si="31"/>
        <v>80058.490442825438</v>
      </c>
      <c r="Q73" s="40">
        <f t="shared" si="31"/>
        <v>81118.080414323005</v>
      </c>
      <c r="R73" s="40">
        <f t="shared" si="31"/>
        <v>82130.396319818436</v>
      </c>
      <c r="S73" s="40">
        <f t="shared" si="31"/>
        <v>82996.393405196955</v>
      </c>
      <c r="T73" s="40">
        <f t="shared" si="31"/>
        <v>83800.88741372143</v>
      </c>
      <c r="U73" s="40">
        <f t="shared" si="31"/>
        <v>84542.311227149767</v>
      </c>
      <c r="V73" s="40">
        <f t="shared" si="31"/>
        <v>85200.334619767091</v>
      </c>
      <c r="W73" s="40">
        <f t="shared" si="31"/>
        <v>85768.859048331899</v>
      </c>
      <c r="X73" s="40">
        <f t="shared" si="31"/>
        <v>86246.910887131424</v>
      </c>
      <c r="Y73" s="40">
        <f t="shared" si="31"/>
        <v>86674.394730017229</v>
      </c>
      <c r="Z73" s="40">
        <f t="shared" si="31"/>
        <v>87014.957125936271</v>
      </c>
      <c r="AA73" s="40">
        <f t="shared" si="31"/>
        <v>87264.765979450909</v>
      </c>
      <c r="AB73" s="40">
        <f t="shared" si="31"/>
        <v>87428.303903196094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196.81789463759313</v>
      </c>
      <c r="C2" s="37">
        <f>BDbDT_calcs!C48</f>
        <v>194.86936426779937</v>
      </c>
      <c r="D2" s="37">
        <f>BDbDT_calcs!D48</f>
        <v>193.8887488844982</v>
      </c>
      <c r="E2" s="37">
        <f>BDbDT_calcs!E48</f>
        <v>192.91773894877946</v>
      </c>
      <c r="F2" s="37">
        <f>BDbDT_calcs!F48</f>
        <v>191.91594960210057</v>
      </c>
      <c r="G2" s="37">
        <f>BDbDT_calcs!G48</f>
        <v>190.88366917826505</v>
      </c>
      <c r="H2" s="37">
        <f>BDbDT_calcs!H48</f>
        <v>189.82216460934148</v>
      </c>
      <c r="I2" s="37">
        <f>BDbDT_calcs!I48</f>
        <v>188.15193077480319</v>
      </c>
      <c r="J2" s="37">
        <f>BDbDT_calcs!J48</f>
        <v>186.36774995972925</v>
      </c>
      <c r="K2" s="37">
        <f>BDbDT_calcs!K48</f>
        <v>184.63197478987476</v>
      </c>
      <c r="L2" s="37">
        <f>BDbDT_calcs!L48</f>
        <v>182.79646833444684</v>
      </c>
      <c r="M2" s="37">
        <f>BDbDT_calcs!M48</f>
        <v>181.00902226763714</v>
      </c>
      <c r="N2" s="37">
        <f>BDbDT_calcs!N48</f>
        <v>179.29036821673625</v>
      </c>
      <c r="O2" s="37">
        <f>BDbDT_calcs!O48</f>
        <v>177.34374883508903</v>
      </c>
      <c r="P2" s="37">
        <f>BDbDT_calcs!P48</f>
        <v>175.48580025726159</v>
      </c>
      <c r="Q2" s="37">
        <f>BDbDT_calcs!Q48</f>
        <v>173.52476433160572</v>
      </c>
      <c r="R2" s="37">
        <f>BDbDT_calcs!R48</f>
        <v>171.56512527809153</v>
      </c>
      <c r="S2" s="37">
        <f>BDbDT_calcs!S48</f>
        <v>169.3757510592159</v>
      </c>
      <c r="T2" s="37">
        <f>BDbDT_calcs!T48</f>
        <v>167.21113531149734</v>
      </c>
      <c r="U2" s="37">
        <f>BDbDT_calcs!U48</f>
        <v>165.06894875553692</v>
      </c>
      <c r="V2" s="37">
        <f>BDbDT_calcs!V48</f>
        <v>162.94638929580381</v>
      </c>
      <c r="W2" s="37">
        <f>BDbDT_calcs!W48</f>
        <v>160.86173585844182</v>
      </c>
      <c r="X2" s="37">
        <f>BDbDT_calcs!X48</f>
        <v>158.96092439102154</v>
      </c>
      <c r="Y2" s="37">
        <f>BDbDT_calcs!Y48</f>
        <v>157.07209842751701</v>
      </c>
      <c r="Z2" s="37">
        <f>BDbDT_calcs!Z48</f>
        <v>155.29914310958941</v>
      </c>
      <c r="AA2" s="37">
        <f>BDbDT_calcs!AA48</f>
        <v>153.55458292119081</v>
      </c>
      <c r="AB2" s="37">
        <f>BDbDT_calcs!AB48</f>
        <v>151.8147872000998</v>
      </c>
    </row>
    <row r="3" spans="1:28" x14ac:dyDescent="0.25">
      <c r="A3" s="4" t="s">
        <v>216</v>
      </c>
      <c r="B3" s="37">
        <f>BDbDT_calcs!B49</f>
        <v>161.42502384022367</v>
      </c>
      <c r="C3" s="37">
        <f>BDbDT_calcs!C49</f>
        <v>160.16195419176574</v>
      </c>
      <c r="D3" s="37">
        <f>BDbDT_calcs!D49</f>
        <v>159.71170961921368</v>
      </c>
      <c r="E3" s="37">
        <f>BDbDT_calcs!E49</f>
        <v>159.24976050286094</v>
      </c>
      <c r="F3" s="37">
        <f>BDbDT_calcs!F49</f>
        <v>158.7557812143086</v>
      </c>
      <c r="G3" s="37">
        <f>BDbDT_calcs!G49</f>
        <v>158.27345267635545</v>
      </c>
      <c r="H3" s="37">
        <f>BDbDT_calcs!H49</f>
        <v>157.78249115476106</v>
      </c>
      <c r="I3" s="37">
        <f>BDbDT_calcs!I49</f>
        <v>156.62501121749892</v>
      </c>
      <c r="J3" s="37">
        <f>BDbDT_calcs!J49</f>
        <v>155.56103641094145</v>
      </c>
      <c r="K3" s="37">
        <f>BDbDT_calcs!K49</f>
        <v>154.38912355670297</v>
      </c>
      <c r="L3" s="37">
        <f>BDbDT_calcs!L49</f>
        <v>153.28340956395002</v>
      </c>
      <c r="M3" s="37">
        <f>BDbDT_calcs!M49</f>
        <v>152.06979357470524</v>
      </c>
      <c r="N3" s="37">
        <f>BDbDT_calcs!N49</f>
        <v>150.76973302249363</v>
      </c>
      <c r="O3" s="37">
        <f>BDbDT_calcs!O49</f>
        <v>149.60059875331777</v>
      </c>
      <c r="P3" s="37">
        <f>BDbDT_calcs!P49</f>
        <v>148.23528294784049</v>
      </c>
      <c r="Q3" s="37">
        <f>BDbDT_calcs!Q49</f>
        <v>146.93424020016195</v>
      </c>
      <c r="R3" s="37">
        <f>BDbDT_calcs!R49</f>
        <v>145.54383161579679</v>
      </c>
      <c r="S3" s="37">
        <f>BDbDT_calcs!S49</f>
        <v>144.01278436564647</v>
      </c>
      <c r="T3" s="37">
        <f>BDbDT_calcs!T49</f>
        <v>142.45916353341696</v>
      </c>
      <c r="U3" s="37">
        <f>BDbDT_calcs!U49</f>
        <v>140.92476524968311</v>
      </c>
      <c r="V3" s="37">
        <f>BDbDT_calcs!V49</f>
        <v>139.45100451918992</v>
      </c>
      <c r="W3" s="37">
        <f>BDbDT_calcs!W49</f>
        <v>138.01366376730644</v>
      </c>
      <c r="X3" s="37">
        <f>BDbDT_calcs!X49</f>
        <v>136.56665341901498</v>
      </c>
      <c r="Y3" s="37">
        <f>BDbDT_calcs!Y49</f>
        <v>135.21771666448177</v>
      </c>
      <c r="Z3" s="37">
        <f>BDbDT_calcs!Z49</f>
        <v>133.85539237033447</v>
      </c>
      <c r="AA3" s="37">
        <f>BDbDT_calcs!AA49</f>
        <v>132.56520045293294</v>
      </c>
      <c r="AB3" s="37">
        <f>BDbDT_calcs!AB49</f>
        <v>131.41112682412867</v>
      </c>
    </row>
    <row r="4" spans="1:28" x14ac:dyDescent="0.25">
      <c r="A4" s="4" t="s">
        <v>217</v>
      </c>
      <c r="B4" s="37">
        <f>BDbDT_calcs!B50</f>
        <v>217.32574336424895</v>
      </c>
      <c r="C4" s="37">
        <f>BDbDT_calcs!C50</f>
        <v>215.38031022892628</v>
      </c>
      <c r="D4" s="37">
        <f>BDbDT_calcs!D50</f>
        <v>214.54991069369652</v>
      </c>
      <c r="E4" s="37">
        <f>BDbDT_calcs!E50</f>
        <v>213.68730987162309</v>
      </c>
      <c r="F4" s="37">
        <f>BDbDT_calcs!F50</f>
        <v>212.81625289372235</v>
      </c>
      <c r="G4" s="37">
        <f>BDbDT_calcs!G50</f>
        <v>211.95958939902567</v>
      </c>
      <c r="H4" s="37">
        <f>BDbDT_calcs!H50</f>
        <v>211.02999233106908</v>
      </c>
      <c r="I4" s="37">
        <f>BDbDT_calcs!I50</f>
        <v>209.376058271934</v>
      </c>
      <c r="J4" s="37">
        <f>BDbDT_calcs!J50</f>
        <v>207.64846031705517</v>
      </c>
      <c r="K4" s="37">
        <f>BDbDT_calcs!K50</f>
        <v>205.86195505503301</v>
      </c>
      <c r="L4" s="37">
        <f>BDbDT_calcs!L50</f>
        <v>203.99425344648009</v>
      </c>
      <c r="M4" s="37">
        <f>BDbDT_calcs!M50</f>
        <v>202.04512330652926</v>
      </c>
      <c r="N4" s="37">
        <f>BDbDT_calcs!N50</f>
        <v>200.01403631467329</v>
      </c>
      <c r="O4" s="37">
        <f>BDbDT_calcs!O50</f>
        <v>197.83342087552217</v>
      </c>
      <c r="P4" s="37">
        <f>BDbDT_calcs!P50</f>
        <v>195.59149589099084</v>
      </c>
      <c r="Q4" s="37">
        <f>BDbDT_calcs!Q50</f>
        <v>193.26446640507206</v>
      </c>
      <c r="R4" s="37">
        <f>BDbDT_calcs!R50</f>
        <v>190.8505368033087</v>
      </c>
      <c r="S4" s="37">
        <f>BDbDT_calcs!S50</f>
        <v>188.1845440064879</v>
      </c>
      <c r="T4" s="37">
        <f>BDbDT_calcs!T50</f>
        <v>185.54603480000625</v>
      </c>
      <c r="U4" s="37">
        <f>BDbDT_calcs!U50</f>
        <v>182.93232176867875</v>
      </c>
      <c r="V4" s="37">
        <f>BDbDT_calcs!V50</f>
        <v>180.36258805448119</v>
      </c>
      <c r="W4" s="37">
        <f>BDbDT_calcs!W50</f>
        <v>177.87828720647005</v>
      </c>
      <c r="X4" s="37">
        <f>BDbDT_calcs!X50</f>
        <v>175.49864775406354</v>
      </c>
      <c r="Y4" s="37">
        <f>BDbDT_calcs!Y50</f>
        <v>173.17672656272418</v>
      </c>
      <c r="Z4" s="37">
        <f>BDbDT_calcs!Z50</f>
        <v>170.9321626505434</v>
      </c>
      <c r="AA4" s="37">
        <f>BDbDT_calcs!AA50</f>
        <v>168.80723697427104</v>
      </c>
      <c r="AB4" s="37">
        <f>BDbDT_calcs!AB50</f>
        <v>166.75463805297954</v>
      </c>
    </row>
    <row r="5" spans="1:28" x14ac:dyDescent="0.25">
      <c r="A5" s="4" t="s">
        <v>218</v>
      </c>
      <c r="B5" s="37">
        <f>BDbDT_calcs!B51</f>
        <v>72.172639785041099</v>
      </c>
      <c r="C5" s="37">
        <f>BDbDT_calcs!C51</f>
        <v>71.03165962553399</v>
      </c>
      <c r="D5" s="37">
        <f>BDbDT_calcs!D51</f>
        <v>70.266415247692635</v>
      </c>
      <c r="E5" s="37">
        <f>BDbDT_calcs!E51</f>
        <v>69.471451111719105</v>
      </c>
      <c r="F5" s="37">
        <f>BDbDT_calcs!F51</f>
        <v>68.646990930661957</v>
      </c>
      <c r="G5" s="37">
        <f>BDbDT_calcs!G51</f>
        <v>67.82398690966312</v>
      </c>
      <c r="H5" s="37">
        <f>BDbDT_calcs!H51</f>
        <v>66.956025028597168</v>
      </c>
      <c r="I5" s="37">
        <f>BDbDT_calcs!I51</f>
        <v>65.8652587678515</v>
      </c>
      <c r="J5" s="37">
        <f>BDbDT_calcs!J51</f>
        <v>64.786791127249884</v>
      </c>
      <c r="K5" s="37">
        <f>BDbDT_calcs!K51</f>
        <v>63.717975559709217</v>
      </c>
      <c r="L5" s="37">
        <f>BDbDT_calcs!L51</f>
        <v>62.689785617070818</v>
      </c>
      <c r="M5" s="37">
        <f>BDbDT_calcs!M51</f>
        <v>61.717559270480585</v>
      </c>
      <c r="N5" s="37">
        <f>BDbDT_calcs!N51</f>
        <v>60.754177931384859</v>
      </c>
      <c r="O5" s="37">
        <f>BDbDT_calcs!O51</f>
        <v>59.846179946756607</v>
      </c>
      <c r="P5" s="37">
        <f>BDbDT_calcs!P51</f>
        <v>58.946379909063602</v>
      </c>
      <c r="Q5" s="37">
        <f>BDbDT_calcs!Q51</f>
        <v>58.085568374383065</v>
      </c>
      <c r="R5" s="37">
        <f>BDbDT_calcs!R51</f>
        <v>57.247630035591634</v>
      </c>
      <c r="S5" s="37">
        <f>BDbDT_calcs!S51</f>
        <v>56.354107456042343</v>
      </c>
      <c r="T5" s="37">
        <f>BDbDT_calcs!T51</f>
        <v>55.484461167787913</v>
      </c>
      <c r="U5" s="37">
        <f>BDbDT_calcs!U51</f>
        <v>54.622198260673677</v>
      </c>
      <c r="V5" s="37">
        <f>BDbDT_calcs!V51</f>
        <v>53.797661564984026</v>
      </c>
      <c r="W5" s="37">
        <f>BDbDT_calcs!W51</f>
        <v>52.96283949685462</v>
      </c>
      <c r="X5" s="37">
        <f>BDbDT_calcs!X51</f>
        <v>52.163750414367207</v>
      </c>
      <c r="Y5" s="37">
        <f>BDbDT_calcs!Y51</f>
        <v>51.415449253328553</v>
      </c>
      <c r="Z5" s="37">
        <f>BDbDT_calcs!Z51</f>
        <v>50.670037761787995</v>
      </c>
      <c r="AA5" s="37">
        <f>BDbDT_calcs!AA51</f>
        <v>49.958107967781167</v>
      </c>
      <c r="AB5" s="37">
        <f>BDbDT_calcs!AB51</f>
        <v>49.24747784282777</v>
      </c>
    </row>
    <row r="6" spans="1:28" x14ac:dyDescent="0.25">
      <c r="A6" s="4" t="s">
        <v>219</v>
      </c>
      <c r="B6" s="37">
        <f>BDbDT_calcs!B52</f>
        <v>23.434738146457079</v>
      </c>
      <c r="C6" s="37">
        <f>BDbDT_calcs!C52</f>
        <v>23.460571098403278</v>
      </c>
      <c r="D6" s="37">
        <f>BDbDT_calcs!D52</f>
        <v>23.605533810851465</v>
      </c>
      <c r="E6" s="37">
        <f>BDbDT_calcs!E52</f>
        <v>23.780418919354105</v>
      </c>
      <c r="F6" s="37">
        <f>BDbDT_calcs!F52</f>
        <v>23.958366250714754</v>
      </c>
      <c r="G6" s="37">
        <f>BDbDT_calcs!G52</f>
        <v>24.13955230829341</v>
      </c>
      <c r="H6" s="37">
        <f>BDbDT_calcs!H52</f>
        <v>24.32428990314007</v>
      </c>
      <c r="I6" s="37">
        <f>BDbDT_calcs!I52</f>
        <v>24.423739103439868</v>
      </c>
      <c r="J6" s="37">
        <f>BDbDT_calcs!J52</f>
        <v>24.527394144601214</v>
      </c>
      <c r="K6" s="37">
        <f>BDbDT_calcs!K52</f>
        <v>24.689554837458118</v>
      </c>
      <c r="L6" s="37">
        <f>BDbDT_calcs!L52</f>
        <v>24.800259441531544</v>
      </c>
      <c r="M6" s="37">
        <f>BDbDT_calcs!M52</f>
        <v>24.914685823012768</v>
      </c>
      <c r="N6" s="37">
        <f>BDbDT_calcs!N52</f>
        <v>25.032935552929775</v>
      </c>
      <c r="O6" s="37">
        <f>BDbDT_calcs!O52</f>
        <v>25.155114130800904</v>
      </c>
      <c r="P6" s="37">
        <f>BDbDT_calcs!P52</f>
        <v>25.253728626324421</v>
      </c>
      <c r="Q6" s="37">
        <f>BDbDT_calcs!Q52</f>
        <v>25.383923611300471</v>
      </c>
      <c r="R6" s="37">
        <f>BDbDT_calcs!R52</f>
        <v>25.462911104528242</v>
      </c>
      <c r="S6" s="37">
        <f>BDbDT_calcs!S52</f>
        <v>25.545204786290459</v>
      </c>
      <c r="T6" s="37">
        <f>BDbDT_calcs!T52</f>
        <v>25.658895288400338</v>
      </c>
      <c r="U6" s="37">
        <f>BDbDT_calcs!U52</f>
        <v>25.72094731699924</v>
      </c>
      <c r="V6" s="37">
        <f>BDbDT_calcs!V52</f>
        <v>25.813955959607053</v>
      </c>
      <c r="W6" s="37">
        <f>BDbDT_calcs!W52</f>
        <v>25.909989731984158</v>
      </c>
      <c r="X6" s="37">
        <f>BDbDT_calcs!X52</f>
        <v>25.981052264519679</v>
      </c>
      <c r="Y6" s="37">
        <f>BDbDT_calcs!Y52</f>
        <v>26.109948512836418</v>
      </c>
      <c r="Z6" s="37">
        <f>BDbDT_calcs!Z52</f>
        <v>26.185643700668816</v>
      </c>
      <c r="AA6" s="37">
        <f>BDbDT_calcs!AA52</f>
        <v>26.263140030258132</v>
      </c>
      <c r="AB6" s="37">
        <f>BDbDT_calcs!AB52</f>
        <v>26.3421033445623</v>
      </c>
    </row>
    <row r="7" spans="1:28" x14ac:dyDescent="0.25">
      <c r="A7" s="4" t="s">
        <v>220</v>
      </c>
      <c r="B7" s="37">
        <f>BDbDT_calcs!B53</f>
        <v>25.119211386103498</v>
      </c>
      <c r="C7" s="37">
        <f>BDbDT_calcs!C53</f>
        <v>25.274193345654421</v>
      </c>
      <c r="D7" s="37">
        <f>BDbDT_calcs!D53</f>
        <v>25.507896288593074</v>
      </c>
      <c r="E7" s="37">
        <f>BDbDT_calcs!E53</f>
        <v>25.778050908760349</v>
      </c>
      <c r="F7" s="37">
        <f>BDbDT_calcs!F53</f>
        <v>26.035335034480173</v>
      </c>
      <c r="G7" s="37">
        <f>BDbDT_calcs!G53</f>
        <v>26.263120986062454</v>
      </c>
      <c r="H7" s="37">
        <f>BDbDT_calcs!H53</f>
        <v>26.561948209734268</v>
      </c>
      <c r="I7" s="37">
        <f>BDbDT_calcs!I53</f>
        <v>26.700936570058047</v>
      </c>
      <c r="J7" s="37">
        <f>BDbDT_calcs!J53</f>
        <v>26.861237583443312</v>
      </c>
      <c r="K7" s="37">
        <f>BDbDT_calcs!K53</f>
        <v>26.975104096591274</v>
      </c>
      <c r="L7" s="37">
        <f>BDbDT_calcs!L53</f>
        <v>27.109638289604778</v>
      </c>
      <c r="M7" s="37">
        <f>BDbDT_calcs!M53</f>
        <v>27.198031756108609</v>
      </c>
      <c r="N7" s="37">
        <f>BDbDT_calcs!N53</f>
        <v>27.324066136039239</v>
      </c>
      <c r="O7" s="37">
        <f>BDbDT_calcs!O53</f>
        <v>27.420885123343769</v>
      </c>
      <c r="P7" s="37">
        <f>BDbDT_calcs!P53</f>
        <v>27.488507420587855</v>
      </c>
      <c r="Q7" s="37">
        <f>BDbDT_calcs!Q53</f>
        <v>27.52686679232416</v>
      </c>
      <c r="R7" s="37">
        <f>BDbDT_calcs!R53</f>
        <v>27.569415641949362</v>
      </c>
      <c r="S7" s="37">
        <f>BDbDT_calcs!S53</f>
        <v>27.56881404445237</v>
      </c>
      <c r="T7" s="37">
        <f>BDbDT_calcs!T53</f>
        <v>27.505111715909809</v>
      </c>
      <c r="U7" s="37">
        <f>BDbDT_calcs!U53</f>
        <v>27.478805721925145</v>
      </c>
      <c r="V7" s="37">
        <f>BDbDT_calcs!V53</f>
        <v>27.42237833619917</v>
      </c>
      <c r="W7" s="37">
        <f>BDbDT_calcs!W53</f>
        <v>27.369024976483647</v>
      </c>
      <c r="X7" s="37">
        <f>BDbDT_calcs!X53</f>
        <v>27.351992009512692</v>
      </c>
      <c r="Y7" s="37">
        <f>BDbDT_calcs!Y53</f>
        <v>27.286925986569713</v>
      </c>
      <c r="Z7" s="37">
        <f>BDbDT_calcs!Z53</f>
        <v>27.274422886402334</v>
      </c>
      <c r="AA7" s="37">
        <f>BDbDT_calcs!AA53</f>
        <v>27.213066065859167</v>
      </c>
      <c r="AB7" s="37">
        <f>BDbDT_calcs!AB53</f>
        <v>27.203610602276452</v>
      </c>
    </row>
    <row r="8" spans="1:28" x14ac:dyDescent="0.25">
      <c r="A8" s="4" t="s">
        <v>221</v>
      </c>
      <c r="B8" s="37">
        <f>BDbDT_calcs!B54</f>
        <v>58.594765762639106</v>
      </c>
      <c r="C8" s="37">
        <f>BDbDT_calcs!C54</f>
        <v>58.699180466302927</v>
      </c>
      <c r="D8" s="37">
        <f>BDbDT_calcs!D54</f>
        <v>59.132194517368603</v>
      </c>
      <c r="E8" s="37">
        <f>BDbDT_calcs!E54</f>
        <v>59.587457432469449</v>
      </c>
      <c r="F8" s="37">
        <f>BDbDT_calcs!F54</f>
        <v>60.09652930473127</v>
      </c>
      <c r="G8" s="37">
        <f>BDbDT_calcs!G54</f>
        <v>60.552524420879031</v>
      </c>
      <c r="H8" s="37">
        <f>BDbDT_calcs!H54</f>
        <v>61.001997827625402</v>
      </c>
      <c r="I8" s="37">
        <f>BDbDT_calcs!I54</f>
        <v>61.222110143086063</v>
      </c>
      <c r="J8" s="37">
        <f>BDbDT_calcs!J54</f>
        <v>61.421928083589926</v>
      </c>
      <c r="K8" s="37">
        <f>BDbDT_calcs!K54</f>
        <v>61.599571086918381</v>
      </c>
      <c r="L8" s="37">
        <f>BDbDT_calcs!L54</f>
        <v>61.739922358651604</v>
      </c>
      <c r="M8" s="37">
        <f>BDbDT_calcs!M54</f>
        <v>61.843222319132678</v>
      </c>
      <c r="N8" s="37">
        <f>BDbDT_calcs!N54</f>
        <v>61.909617615544967</v>
      </c>
      <c r="O8" s="37">
        <f>BDbDT_calcs!O54</f>
        <v>61.939220872862741</v>
      </c>
      <c r="P8" s="37">
        <f>BDbDT_calcs!P54</f>
        <v>61.885672912759233</v>
      </c>
      <c r="Q8" s="37">
        <f>BDbDT_calcs!Q54</f>
        <v>61.795089550377824</v>
      </c>
      <c r="R8" s="37">
        <f>BDbDT_calcs!R54</f>
        <v>61.620734681370806</v>
      </c>
      <c r="S8" s="37">
        <f>BDbDT_calcs!S54</f>
        <v>61.387214497012685</v>
      </c>
      <c r="T8" s="37">
        <f>BDbDT_calcs!T54</f>
        <v>61.100804481767945</v>
      </c>
      <c r="U8" s="37">
        <f>BDbDT_calcs!U54</f>
        <v>60.760849783671254</v>
      </c>
      <c r="V8" s="37">
        <f>BDbDT_calcs!V54</f>
        <v>60.428414625596588</v>
      </c>
      <c r="W8" s="37">
        <f>BDbDT_calcs!W54</f>
        <v>60.025074608938695</v>
      </c>
      <c r="X8" s="37">
        <f>BDbDT_calcs!X54</f>
        <v>59.704825774793008</v>
      </c>
      <c r="Y8" s="37">
        <f>BDbDT_calcs!Y54</f>
        <v>59.374074072172156</v>
      </c>
      <c r="Z8" s="37">
        <f>BDbDT_calcs!Z54</f>
        <v>59.047446299714771</v>
      </c>
      <c r="AA8" s="37">
        <f>BDbDT_calcs!AA54</f>
        <v>58.739618795279966</v>
      </c>
      <c r="AB8" s="37">
        <f>BDbDT_calcs!AB54</f>
        <v>58.465352722887715</v>
      </c>
    </row>
    <row r="9" spans="1:28" x14ac:dyDescent="0.25">
      <c r="A9" s="4" t="s">
        <v>222</v>
      </c>
      <c r="B9" s="37">
        <f>BDbDT_calcs!B55</f>
        <v>296.26111893952816</v>
      </c>
      <c r="C9" s="37">
        <f>BDbDT_calcs!C55</f>
        <v>292.66424291137957</v>
      </c>
      <c r="D9" s="37">
        <f>BDbDT_calcs!D55</f>
        <v>290.4842321936132</v>
      </c>
      <c r="E9" s="37">
        <f>BDbDT_calcs!E55</f>
        <v>288.26925067129577</v>
      </c>
      <c r="F9" s="37">
        <f>BDbDT_calcs!F55</f>
        <v>285.90724948417335</v>
      </c>
      <c r="G9" s="37">
        <f>BDbDT_calcs!G55</f>
        <v>283.60332503642519</v>
      </c>
      <c r="H9" s="37">
        <f>BDbDT_calcs!H55</f>
        <v>281.26832926538759</v>
      </c>
      <c r="I9" s="37">
        <f>BDbDT_calcs!I55</f>
        <v>277.91235978614048</v>
      </c>
      <c r="J9" s="37">
        <f>BDbDT_calcs!J55</f>
        <v>274.56156931907498</v>
      </c>
      <c r="K9" s="37">
        <f>BDbDT_calcs!K55</f>
        <v>271.18246608049833</v>
      </c>
      <c r="L9" s="37">
        <f>BDbDT_calcs!L55</f>
        <v>267.82042913061662</v>
      </c>
      <c r="M9" s="37">
        <f>BDbDT_calcs!M55</f>
        <v>264.45184107776828</v>
      </c>
      <c r="N9" s="37">
        <f>BDbDT_calcs!N55</f>
        <v>261.1215502349441</v>
      </c>
      <c r="O9" s="37">
        <f>BDbDT_calcs!O55</f>
        <v>257.73682218507366</v>
      </c>
      <c r="P9" s="37">
        <f>BDbDT_calcs!P55</f>
        <v>254.36503081376583</v>
      </c>
      <c r="Q9" s="37">
        <f>BDbDT_calcs!Q55</f>
        <v>251.00425999066366</v>
      </c>
      <c r="R9" s="37">
        <f>BDbDT_calcs!R55</f>
        <v>247.67530241403591</v>
      </c>
      <c r="S9" s="37">
        <f>BDbDT_calcs!S55</f>
        <v>244.0371607607274</v>
      </c>
      <c r="T9" s="37">
        <f>BDbDT_calcs!T55</f>
        <v>240.4806307508083</v>
      </c>
      <c r="U9" s="37">
        <f>BDbDT_calcs!U55</f>
        <v>237.04818881634665</v>
      </c>
      <c r="V9" s="37">
        <f>BDbDT_calcs!V55</f>
        <v>233.6897183560923</v>
      </c>
      <c r="W9" s="37">
        <f>BDbDT_calcs!W55</f>
        <v>230.51600829542795</v>
      </c>
      <c r="X9" s="37">
        <f>BDbDT_calcs!X55</f>
        <v>227.40788306994665</v>
      </c>
      <c r="Y9" s="37">
        <f>BDbDT_calcs!Y55</f>
        <v>224.43165514159915</v>
      </c>
      <c r="Z9" s="37">
        <f>BDbDT_calcs!Z55</f>
        <v>221.56074743316333</v>
      </c>
      <c r="AA9" s="37">
        <f>BDbDT_calcs!AA55</f>
        <v>218.76866333946919</v>
      </c>
      <c r="AB9" s="37">
        <f>BDbDT_calcs!AB55</f>
        <v>216.07527384757421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31210.160795630269</v>
      </c>
      <c r="C2" s="37">
        <f>BDbDT_calcs!C58</f>
        <v>31703.221762480811</v>
      </c>
      <c r="D2" s="37">
        <f>BDbDT_calcs!D58</f>
        <v>32352.70592211371</v>
      </c>
      <c r="E2" s="37">
        <f>BDbDT_calcs!E58</f>
        <v>33005.946875496556</v>
      </c>
      <c r="F2" s="37">
        <f>BDbDT_calcs!F58</f>
        <v>33665.785635879292</v>
      </c>
      <c r="G2" s="37">
        <f>BDbDT_calcs!G58</f>
        <v>34333.253385162549</v>
      </c>
      <c r="H2" s="37">
        <f>BDbDT_calcs!H58</f>
        <v>35006.039246472021</v>
      </c>
      <c r="I2" s="37">
        <f>BDbDT_calcs!I58</f>
        <v>35552.273150961679</v>
      </c>
      <c r="J2" s="37">
        <f>BDbDT_calcs!J58</f>
        <v>36093.749701711618</v>
      </c>
      <c r="K2" s="37">
        <f>BDbDT_calcs!K58</f>
        <v>36629.862893996848</v>
      </c>
      <c r="L2" s="37">
        <f>BDbDT_calcs!L58</f>
        <v>37157.532808773918</v>
      </c>
      <c r="M2" s="37">
        <f>BDbDT_calcs!M58</f>
        <v>37676.14906425662</v>
      </c>
      <c r="N2" s="37">
        <f>BDbDT_calcs!N58</f>
        <v>38181.865564413434</v>
      </c>
      <c r="O2" s="37">
        <f>BDbDT_calcs!O58</f>
        <v>38673.237200457101</v>
      </c>
      <c r="P2" s="37">
        <f>BDbDT_calcs!P58</f>
        <v>39145.281066174874</v>
      </c>
      <c r="Q2" s="37">
        <f>BDbDT_calcs!Q58</f>
        <v>39597.164001559468</v>
      </c>
      <c r="R2" s="37">
        <f>BDbDT_calcs!R58</f>
        <v>40022.822769789876</v>
      </c>
      <c r="S2" s="37">
        <f>BDbDT_calcs!S58</f>
        <v>40377.931333378721</v>
      </c>
      <c r="T2" s="37">
        <f>BDbDT_calcs!T58</f>
        <v>40704.334639831715</v>
      </c>
      <c r="U2" s="37">
        <f>BDbDT_calcs!U58</f>
        <v>41004.116095799756</v>
      </c>
      <c r="V2" s="37">
        <f>BDbDT_calcs!V58</f>
        <v>41267.293305770603</v>
      </c>
      <c r="W2" s="37">
        <f>BDbDT_calcs!W58</f>
        <v>41496.123700524266</v>
      </c>
      <c r="X2" s="37">
        <f>BDbDT_calcs!X58</f>
        <v>41688.134906164982</v>
      </c>
      <c r="Y2" s="37">
        <f>BDbDT_calcs!Y58</f>
        <v>41860.341838532309</v>
      </c>
      <c r="Z2" s="37">
        <f>BDbDT_calcs!Z58</f>
        <v>41997.282832497607</v>
      </c>
      <c r="AA2" s="37">
        <f>BDbDT_calcs!AA58</f>
        <v>42101.316820110813</v>
      </c>
      <c r="AB2" s="37">
        <f>BDbDT_calcs!AB58</f>
        <v>42176.037570917979</v>
      </c>
    </row>
    <row r="3" spans="1:28" x14ac:dyDescent="0.25">
      <c r="A3" s="4" t="s">
        <v>216</v>
      </c>
      <c r="B3" s="37">
        <f>BDbDT_calcs!B59</f>
        <v>30166.473425049942</v>
      </c>
      <c r="C3" s="37">
        <f>BDbDT_calcs!C59</f>
        <v>30563.678033982003</v>
      </c>
      <c r="D3" s="37">
        <f>BDbDT_calcs!D59</f>
        <v>31113.872398062656</v>
      </c>
      <c r="E3" s="37">
        <f>BDbDT_calcs!E59</f>
        <v>31683.300894560864</v>
      </c>
      <c r="F3" s="37">
        <f>BDbDT_calcs!F59</f>
        <v>32281.135670606869</v>
      </c>
      <c r="G3" s="37">
        <f>BDbDT_calcs!G59</f>
        <v>32909.3744636048</v>
      </c>
      <c r="H3" s="37">
        <f>BDbDT_calcs!H59</f>
        <v>33571.376506297347</v>
      </c>
      <c r="I3" s="37">
        <f>BDbDT_calcs!I59</f>
        <v>34139.638786615527</v>
      </c>
      <c r="J3" s="37">
        <f>BDbDT_calcs!J59</f>
        <v>34734.103345601186</v>
      </c>
      <c r="K3" s="37">
        <f>BDbDT_calcs!K59</f>
        <v>35345.972556159795</v>
      </c>
      <c r="L3" s="37">
        <f>BDbDT_calcs!L59</f>
        <v>35974.589404203289</v>
      </c>
      <c r="M3" s="37">
        <f>BDbDT_calcs!M59</f>
        <v>36617.836221449536</v>
      </c>
      <c r="N3" s="37">
        <f>BDbDT_calcs!N59</f>
        <v>37267.96215220134</v>
      </c>
      <c r="O3" s="37">
        <f>BDbDT_calcs!O59</f>
        <v>37917.567421513952</v>
      </c>
      <c r="P3" s="37">
        <f>BDbDT_calcs!P59</f>
        <v>38565.033280509953</v>
      </c>
      <c r="Q3" s="37">
        <f>BDbDT_calcs!Q59</f>
        <v>39199.756848342193</v>
      </c>
      <c r="R3" s="37">
        <f>BDbDT_calcs!R59</f>
        <v>39818.744937849617</v>
      </c>
      <c r="S3" s="37">
        <f>BDbDT_calcs!S59</f>
        <v>40370.136043880237</v>
      </c>
      <c r="T3" s="37">
        <f>BDbDT_calcs!T59</f>
        <v>40894.599042590125</v>
      </c>
      <c r="U3" s="37">
        <f>BDbDT_calcs!U59</f>
        <v>41388.297805309776</v>
      </c>
      <c r="V3" s="37">
        <f>BDbDT_calcs!V59</f>
        <v>41841.76712914947</v>
      </c>
      <c r="W3" s="37">
        <f>BDbDT_calcs!W59</f>
        <v>42246.43050452599</v>
      </c>
      <c r="X3" s="37">
        <f>BDbDT_calcs!X59</f>
        <v>42604.33476228152</v>
      </c>
      <c r="Y3" s="37">
        <f>BDbDT_calcs!Y59</f>
        <v>42935.137331557948</v>
      </c>
      <c r="Z3" s="37">
        <f>BDbDT_calcs!Z59</f>
        <v>43220.180442958423</v>
      </c>
      <c r="AA3" s="37">
        <f>BDbDT_calcs!AA59</f>
        <v>43452.540542907896</v>
      </c>
      <c r="AB3" s="37">
        <f>BDbDT_calcs!AB59</f>
        <v>43632.662405126008</v>
      </c>
    </row>
    <row r="4" spans="1:28" x14ac:dyDescent="0.25">
      <c r="A4" s="4" t="s">
        <v>217</v>
      </c>
      <c r="B4" s="37">
        <f>BDbDT_calcs!B60</f>
        <v>51679.479767593075</v>
      </c>
      <c r="C4" s="37">
        <f>BDbDT_calcs!C60</f>
        <v>52419.450365426273</v>
      </c>
      <c r="D4" s="37">
        <f>BDbDT_calcs!D60</f>
        <v>53415.54013603885</v>
      </c>
      <c r="E4" s="37">
        <f>BDbDT_calcs!E60</f>
        <v>54425.624877581104</v>
      </c>
      <c r="F4" s="37">
        <f>BDbDT_calcs!F60</f>
        <v>55461.011077561001</v>
      </c>
      <c r="G4" s="37">
        <f>BDbDT_calcs!G60</f>
        <v>56522.186445838408</v>
      </c>
      <c r="H4" s="37">
        <f>BDbDT_calcs!H60</f>
        <v>57611.500278965141</v>
      </c>
      <c r="I4" s="37">
        <f>BDbDT_calcs!I60</f>
        <v>58509.96998493954</v>
      </c>
      <c r="J4" s="37">
        <f>BDbDT_calcs!J60</f>
        <v>59421.528892314687</v>
      </c>
      <c r="K4" s="37">
        <f>BDbDT_calcs!K60</f>
        <v>60335.766954720071</v>
      </c>
      <c r="L4" s="37">
        <f>BDbDT_calcs!L60</f>
        <v>61249.575572433685</v>
      </c>
      <c r="M4" s="37">
        <f>BDbDT_calcs!M60</f>
        <v>62160.661679121004</v>
      </c>
      <c r="N4" s="37">
        <f>BDbDT_calcs!N60</f>
        <v>63057.820971065586</v>
      </c>
      <c r="O4" s="37">
        <f>BDbDT_calcs!O60</f>
        <v>63934.829739093584</v>
      </c>
      <c r="P4" s="37">
        <f>BDbDT_calcs!P60</f>
        <v>64783.458430093531</v>
      </c>
      <c r="Q4" s="37">
        <f>BDbDT_calcs!Q60</f>
        <v>65594.961082906317</v>
      </c>
      <c r="R4" s="37">
        <f>BDbDT_calcs!R60</f>
        <v>66360.870103064401</v>
      </c>
      <c r="S4" s="37">
        <f>BDbDT_calcs!S60</f>
        <v>67001.325258073179</v>
      </c>
      <c r="T4" s="37">
        <f>BDbDT_calcs!T60</f>
        <v>67585.310959271097</v>
      </c>
      <c r="U4" s="37">
        <f>BDbDT_calcs!U60</f>
        <v>68112.494826853028</v>
      </c>
      <c r="V4" s="37">
        <f>BDbDT_calcs!V60</f>
        <v>68564.444977690917</v>
      </c>
      <c r="W4" s="37">
        <f>BDbDT_calcs!W60</f>
        <v>68935.630506048808</v>
      </c>
      <c r="X4" s="37">
        <f>BDbDT_calcs!X60</f>
        <v>69227.101123237822</v>
      </c>
      <c r="Y4" s="37">
        <f>BDbDT_calcs!Y60</f>
        <v>69473.80660702163</v>
      </c>
      <c r="Z4" s="37">
        <f>BDbDT_calcs!Z60</f>
        <v>69644.285239050179</v>
      </c>
      <c r="AA4" s="37">
        <f>BDbDT_calcs!AA60</f>
        <v>69733.764183182226</v>
      </c>
      <c r="AB4" s="37">
        <f>BDbDT_calcs!AB60</f>
        <v>69747.707262479045</v>
      </c>
    </row>
    <row r="5" spans="1:28" x14ac:dyDescent="0.25">
      <c r="A5" s="4" t="s">
        <v>218</v>
      </c>
      <c r="B5" s="37">
        <f>BDbDT_calcs!B61</f>
        <v>5579.7874295034426</v>
      </c>
      <c r="C5" s="37">
        <f>BDbDT_calcs!C61</f>
        <v>5650.5185009157176</v>
      </c>
      <c r="D5" s="37">
        <f>BDbDT_calcs!D61</f>
        <v>5749.7774501079193</v>
      </c>
      <c r="E5" s="37">
        <f>BDbDT_calcs!E61</f>
        <v>5850.2575993774544</v>
      </c>
      <c r="F5" s="37">
        <f>BDbDT_calcs!F61</f>
        <v>5953.8964668453127</v>
      </c>
      <c r="G5" s="37">
        <f>BDbDT_calcs!G61</f>
        <v>6060.8990422915404</v>
      </c>
      <c r="H5" s="37">
        <f>BDbDT_calcs!H61</f>
        <v>6171.165689284514</v>
      </c>
      <c r="I5" s="37">
        <f>BDbDT_calcs!I61</f>
        <v>6262.1472812940947</v>
      </c>
      <c r="J5" s="37">
        <f>BDbDT_calcs!J61</f>
        <v>6355.8619564237879</v>
      </c>
      <c r="K5" s="37">
        <f>BDbDT_calcs!K61</f>
        <v>6451.9286829235816</v>
      </c>
      <c r="L5" s="37">
        <f>BDbDT_calcs!L61</f>
        <v>6550.3804963485682</v>
      </c>
      <c r="M5" s="37">
        <f>BDbDT_calcs!M61</f>
        <v>6650.9057772124343</v>
      </c>
      <c r="N5" s="37">
        <f>BDbDT_calcs!N61</f>
        <v>6753.8446500439104</v>
      </c>
      <c r="O5" s="37">
        <f>BDbDT_calcs!O61</f>
        <v>6857.510137051474</v>
      </c>
      <c r="P5" s="37">
        <f>BDbDT_calcs!P61</f>
        <v>6962.6738839352683</v>
      </c>
      <c r="Q5" s="37">
        <f>BDbDT_calcs!Q61</f>
        <v>7067.9376649415908</v>
      </c>
      <c r="R5" s="37">
        <f>BDbDT_calcs!R61</f>
        <v>7173.1421322939304</v>
      </c>
      <c r="S5" s="37">
        <f>BDbDT_calcs!S61</f>
        <v>7270.2903646602372</v>
      </c>
      <c r="T5" s="37">
        <f>BDbDT_calcs!T61</f>
        <v>7365.8283700915244</v>
      </c>
      <c r="U5" s="37">
        <f>BDbDT_calcs!U61</f>
        <v>7459.8607310921143</v>
      </c>
      <c r="V5" s="37">
        <f>BDbDT_calcs!V61</f>
        <v>7551.5060027731479</v>
      </c>
      <c r="W5" s="37">
        <f>BDbDT_calcs!W61</f>
        <v>7639.3449218745145</v>
      </c>
      <c r="X5" s="37">
        <f>BDbDT_calcs!X61</f>
        <v>7722.8385437583338</v>
      </c>
      <c r="Y5" s="37">
        <f>BDbDT_calcs!Y61</f>
        <v>7803.9109660952618</v>
      </c>
      <c r="Z5" s="37">
        <f>BDbDT_calcs!Z61</f>
        <v>7880.3845864248342</v>
      </c>
      <c r="AA5" s="37">
        <f>BDbDT_calcs!AA61</f>
        <v>7952.1580776921601</v>
      </c>
      <c r="AB5" s="37">
        <f>BDbDT_calcs!AB61</f>
        <v>8018.3704978472488</v>
      </c>
    </row>
    <row r="6" spans="1:28" x14ac:dyDescent="0.25">
      <c r="A6" s="4" t="s">
        <v>219</v>
      </c>
      <c r="B6" s="37">
        <f>BDbDT_calcs!B62</f>
        <v>3316.6006357261726</v>
      </c>
      <c r="C6" s="37">
        <f>BDbDT_calcs!C62</f>
        <v>3386.6311904340896</v>
      </c>
      <c r="D6" s="37">
        <f>BDbDT_calcs!D62</f>
        <v>3476.2483805096804</v>
      </c>
      <c r="E6" s="37">
        <f>BDbDT_calcs!E62</f>
        <v>3571.7315539022079</v>
      </c>
      <c r="F6" s="37">
        <f>BDbDT_calcs!F62</f>
        <v>3674.2002862296126</v>
      </c>
      <c r="G6" s="37">
        <f>BDbDT_calcs!G62</f>
        <v>3783.6757210778528</v>
      </c>
      <c r="H6" s="37">
        <f>BDbDT_calcs!H62</f>
        <v>3900.5086979108855</v>
      </c>
      <c r="I6" s="37">
        <f>BDbDT_calcs!I62</f>
        <v>4010.2017353843062</v>
      </c>
      <c r="J6" s="37">
        <f>BDbDT_calcs!J62</f>
        <v>4124.6763513473261</v>
      </c>
      <c r="K6" s="37">
        <f>BDbDT_calcs!K62</f>
        <v>4243.1353340388723</v>
      </c>
      <c r="L6" s="37">
        <f>BDbDT_calcs!L62</f>
        <v>4366.689854143051</v>
      </c>
      <c r="M6" s="37">
        <f>BDbDT_calcs!M62</f>
        <v>4494.5267323527532</v>
      </c>
      <c r="N6" s="37">
        <f>BDbDT_calcs!N62</f>
        <v>4626.108521367828</v>
      </c>
      <c r="O6" s="37">
        <f>BDbDT_calcs!O62</f>
        <v>4760.6535655188345</v>
      </c>
      <c r="P6" s="37">
        <f>BDbDT_calcs!P62</f>
        <v>4897.7621661519206</v>
      </c>
      <c r="Q6" s="37">
        <f>BDbDT_calcs!Q62</f>
        <v>5036.5291303591302</v>
      </c>
      <c r="R6" s="37">
        <f>BDbDT_calcs!R62</f>
        <v>5176.5104062057144</v>
      </c>
      <c r="S6" s="37">
        <f>BDbDT_calcs!S62</f>
        <v>5310.9723490390179</v>
      </c>
      <c r="T6" s="37">
        <f>BDbDT_calcs!T62</f>
        <v>5445.5964616271131</v>
      </c>
      <c r="U6" s="37">
        <f>BDbDT_calcs!U62</f>
        <v>5579.2077624905778</v>
      </c>
      <c r="V6" s="37">
        <f>BDbDT_calcs!V62</f>
        <v>5711.9872506723232</v>
      </c>
      <c r="W6" s="37">
        <f>BDbDT_calcs!W62</f>
        <v>5843.5460727020491</v>
      </c>
      <c r="X6" s="37">
        <f>BDbDT_calcs!X62</f>
        <v>5974.3692536359385</v>
      </c>
      <c r="Y6" s="37">
        <f>BDbDT_calcs!Y62</f>
        <v>6104.0518762400616</v>
      </c>
      <c r="Z6" s="37">
        <f>BDbDT_calcs!Z62</f>
        <v>6232.7651039525254</v>
      </c>
      <c r="AA6" s="37">
        <f>BDbDT_calcs!AA62</f>
        <v>6360.4222283416584</v>
      </c>
      <c r="AB6" s="37">
        <f>BDbDT_calcs!AB62</f>
        <v>6486.541704921704</v>
      </c>
    </row>
    <row r="7" spans="1:28" x14ac:dyDescent="0.25">
      <c r="A7" s="4" t="s">
        <v>220</v>
      </c>
      <c r="B7" s="37">
        <f>BDbDT_calcs!B63</f>
        <v>1107.5785083702669</v>
      </c>
      <c r="C7" s="37">
        <f>BDbDT_calcs!C63</f>
        <v>1129.3817043476524</v>
      </c>
      <c r="D7" s="37">
        <f>BDbDT_calcs!D63</f>
        <v>1157.8863421696133</v>
      </c>
      <c r="E7" s="37">
        <f>BDbDT_calcs!E63</f>
        <v>1188.7781390750795</v>
      </c>
      <c r="F7" s="37">
        <f>BDbDT_calcs!F63</f>
        <v>1220.1150136523172</v>
      </c>
      <c r="G7" s="37">
        <f>BDbDT_calcs!G63</f>
        <v>1253.6507961598763</v>
      </c>
      <c r="H7" s="37">
        <f>BDbDT_calcs!H63</f>
        <v>1288.2712359326479</v>
      </c>
      <c r="I7" s="37">
        <f>BDbDT_calcs!I63</f>
        <v>1318.9258241662465</v>
      </c>
      <c r="J7" s="37">
        <f>BDbDT_calcs!J63</f>
        <v>1350.3085557289451</v>
      </c>
      <c r="K7" s="37">
        <f>BDbDT_calcs!K63</f>
        <v>1383.8797355359811</v>
      </c>
      <c r="L7" s="37">
        <f>BDbDT_calcs!L63</f>
        <v>1418.319378540403</v>
      </c>
      <c r="M7" s="37">
        <f>BDbDT_calcs!M63</f>
        <v>1454.0653580576563</v>
      </c>
      <c r="N7" s="37">
        <f>BDbDT_calcs!N63</f>
        <v>1490.4842767332239</v>
      </c>
      <c r="O7" s="37">
        <f>BDbDT_calcs!O63</f>
        <v>1527.6967410013428</v>
      </c>
      <c r="P7" s="37">
        <f>BDbDT_calcs!P63</f>
        <v>1566.1074264329552</v>
      </c>
      <c r="Q7" s="37">
        <f>BDbDT_calcs!Q63</f>
        <v>1605.5158284137294</v>
      </c>
      <c r="R7" s="37">
        <f>BDbDT_calcs!R63</f>
        <v>1645.6187554708274</v>
      </c>
      <c r="S7" s="37">
        <f>BDbDT_calcs!S63</f>
        <v>1684.065015286666</v>
      </c>
      <c r="T7" s="37">
        <f>BDbDT_calcs!T63</f>
        <v>1723.0995352430311</v>
      </c>
      <c r="U7" s="37">
        <f>BDbDT_calcs!U63</f>
        <v>1762.2715747826319</v>
      </c>
      <c r="V7" s="37">
        <f>BDbDT_calcs!V63</f>
        <v>1801.0722359684539</v>
      </c>
      <c r="W7" s="37">
        <f>BDbDT_calcs!W63</f>
        <v>1840.6005525493317</v>
      </c>
      <c r="X7" s="37">
        <f>BDbDT_calcs!X63</f>
        <v>1879.9700338198825</v>
      </c>
      <c r="Y7" s="37">
        <f>BDbDT_calcs!Y63</f>
        <v>1919.713518420964</v>
      </c>
      <c r="Z7" s="37">
        <f>BDbDT_calcs!Z63</f>
        <v>1959.0919776915466</v>
      </c>
      <c r="AA7" s="37">
        <f>BDbDT_calcs!AA63</f>
        <v>1998.3899890891523</v>
      </c>
      <c r="AB7" s="37">
        <f>BDbDT_calcs!AB63</f>
        <v>2037.9081987164423</v>
      </c>
    </row>
    <row r="8" spans="1:28" x14ac:dyDescent="0.25">
      <c r="A8" s="4" t="s">
        <v>221</v>
      </c>
      <c r="B8" s="37">
        <f>BDbDT_calcs!B64</f>
        <v>3815.14318395689</v>
      </c>
      <c r="C8" s="37">
        <f>BDbDT_calcs!C64</f>
        <v>3940.3023373995402</v>
      </c>
      <c r="D8" s="37">
        <f>BDbDT_calcs!D64</f>
        <v>4088.0871005469671</v>
      </c>
      <c r="E8" s="37">
        <f>BDbDT_calcs!E64</f>
        <v>4240.196951667358</v>
      </c>
      <c r="F8" s="37">
        <f>BDbDT_calcs!F64</f>
        <v>4396.7302219806443</v>
      </c>
      <c r="G8" s="37">
        <f>BDbDT_calcs!G64</f>
        <v>4558.2782898059986</v>
      </c>
      <c r="H8" s="37">
        <f>BDbDT_calcs!H64</f>
        <v>4726.3965013896523</v>
      </c>
      <c r="I8" s="37">
        <f>BDbDT_calcs!I64</f>
        <v>4883.385396611151</v>
      </c>
      <c r="J8" s="37">
        <f>BDbDT_calcs!J64</f>
        <v>5044.8370653252696</v>
      </c>
      <c r="K8" s="37">
        <f>BDbDT_calcs!K64</f>
        <v>5211.9438749244173</v>
      </c>
      <c r="L8" s="37">
        <f>BDbDT_calcs!L64</f>
        <v>5385.6280398702047</v>
      </c>
      <c r="M8" s="37">
        <f>BDbDT_calcs!M64</f>
        <v>5564.6093232298035</v>
      </c>
      <c r="N8" s="37">
        <f>BDbDT_calcs!N64</f>
        <v>5750.3708777759548</v>
      </c>
      <c r="O8" s="37">
        <f>BDbDT_calcs!O64</f>
        <v>5941.9957723224525</v>
      </c>
      <c r="P8" s="37">
        <f>BDbDT_calcs!P64</f>
        <v>6139.2596302860065</v>
      </c>
      <c r="Q8" s="37">
        <f>BDbDT_calcs!Q64</f>
        <v>6342.4710805837985</v>
      </c>
      <c r="R8" s="37">
        <f>BDbDT_calcs!R64</f>
        <v>6550.3878039701758</v>
      </c>
      <c r="S8" s="37">
        <f>BDbDT_calcs!S64</f>
        <v>6755.5654416667112</v>
      </c>
      <c r="T8" s="37">
        <f>BDbDT_calcs!T64</f>
        <v>6964.9344195708127</v>
      </c>
      <c r="U8" s="37">
        <f>BDbDT_calcs!U64</f>
        <v>7178.0489528076832</v>
      </c>
      <c r="V8" s="37">
        <f>BDbDT_calcs!V64</f>
        <v>7393.9687655302851</v>
      </c>
      <c r="W8" s="37">
        <f>BDbDT_calcs!W64</f>
        <v>7611.6847063293189</v>
      </c>
      <c r="X8" s="37">
        <f>BDbDT_calcs!X64</f>
        <v>7832.1255683782101</v>
      </c>
      <c r="Y8" s="37">
        <f>BDbDT_calcs!Y64</f>
        <v>8053.7222539094091</v>
      </c>
      <c r="Z8" s="37">
        <f>BDbDT_calcs!Z64</f>
        <v>8276.3646548647557</v>
      </c>
      <c r="AA8" s="37">
        <f>BDbDT_calcs!AA64</f>
        <v>8498.1881567411001</v>
      </c>
      <c r="AB8" s="37">
        <f>BDbDT_calcs!AB64</f>
        <v>8718.9452080470164</v>
      </c>
    </row>
    <row r="9" spans="1:28" x14ac:dyDescent="0.25">
      <c r="A9" s="4" t="s">
        <v>222</v>
      </c>
      <c r="B9" s="37">
        <f>BDbDT_calcs!B65</f>
        <v>59926.73108990609</v>
      </c>
      <c r="C9" s="37">
        <f>BDbDT_calcs!C65</f>
        <v>60693.468466120736</v>
      </c>
      <c r="D9" s="37">
        <f>BDbDT_calcs!D65</f>
        <v>61757.242442085037</v>
      </c>
      <c r="E9" s="37">
        <f>BDbDT_calcs!E65</f>
        <v>62838.92336960289</v>
      </c>
      <c r="F9" s="37">
        <f>BDbDT_calcs!F65</f>
        <v>63951.10530726095</v>
      </c>
      <c r="G9" s="37">
        <f>BDbDT_calcs!G65</f>
        <v>65096.131503900506</v>
      </c>
      <c r="H9" s="37">
        <f>BDbDT_calcs!H65</f>
        <v>66272.726294170163</v>
      </c>
      <c r="I9" s="37">
        <f>BDbDT_calcs!I65</f>
        <v>67229.986880067459</v>
      </c>
      <c r="J9" s="37">
        <f>BDbDT_calcs!J65</f>
        <v>68203.064795065351</v>
      </c>
      <c r="K9" s="37">
        <f>BDbDT_calcs!K65</f>
        <v>69180.26493405462</v>
      </c>
      <c r="L9" s="37">
        <f>BDbDT_calcs!L65</f>
        <v>70156.188166026128</v>
      </c>
      <c r="M9" s="37">
        <f>BDbDT_calcs!M65</f>
        <v>71129.844104261661</v>
      </c>
      <c r="N9" s="37">
        <f>BDbDT_calcs!N65</f>
        <v>72086.697651443537</v>
      </c>
      <c r="O9" s="37">
        <f>BDbDT_calcs!O65</f>
        <v>73018.75020701834</v>
      </c>
      <c r="P9" s="37">
        <f>BDbDT_calcs!P65</f>
        <v>73919.230812539434</v>
      </c>
      <c r="Q9" s="37">
        <f>BDbDT_calcs!Q65</f>
        <v>74775.609333739209</v>
      </c>
      <c r="R9" s="37">
        <f>BDbDT_calcs!R65</f>
        <v>75580.008515848254</v>
      </c>
      <c r="S9" s="37">
        <f>BDbDT_calcs!S65</f>
        <v>76240.827963530246</v>
      </c>
      <c r="T9" s="37">
        <f>BDbDT_calcs!T65</f>
        <v>76835.952994150619</v>
      </c>
      <c r="U9" s="37">
        <f>BDbDT_calcs!U65</f>
        <v>77364.26227434208</v>
      </c>
      <c r="V9" s="37">
        <f>BDbDT_calcs!V65</f>
        <v>77806.365854236807</v>
      </c>
      <c r="W9" s="37">
        <f>BDbDT_calcs!W65</f>
        <v>78157.174342002574</v>
      </c>
      <c r="X9" s="37">
        <f>BDbDT_calcs!X65</f>
        <v>78414.785318753216</v>
      </c>
      <c r="Y9" s="37">
        <f>BDbDT_calcs!Y65</f>
        <v>78620.672476107822</v>
      </c>
      <c r="Z9" s="37">
        <f>BDbDT_calcs!Z65</f>
        <v>78738.592471071519</v>
      </c>
      <c r="AA9" s="37">
        <f>BDbDT_calcs!AA65</f>
        <v>78766.577822709805</v>
      </c>
      <c r="AB9" s="37">
        <f>BDbDT_calcs!AB65</f>
        <v>78709.358695149072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2026-08-17T20:28:58Z</dcterms:modified>
</cp:coreProperties>
</file>