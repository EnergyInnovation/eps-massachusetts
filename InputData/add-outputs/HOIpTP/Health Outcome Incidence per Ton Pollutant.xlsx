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A\add-outputs\HOIpTP\"/>
    </mc:Choice>
  </mc:AlternateContent>
  <xr:revisionPtr revIDLastSave="0" documentId="8_{8184F311-2ABA-4B6D-9115-B6728E8797A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P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V3" i="19"/>
  <c r="Q3" i="19"/>
  <c r="J3" i="19"/>
  <c r="F3" i="19"/>
  <c r="B3" i="19"/>
  <c r="O3" i="19" s="1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M17" i="18"/>
  <c r="I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D15" i="18"/>
  <c r="B15" i="18"/>
  <c r="C15" i="18" s="1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Q8" i="18"/>
  <c r="N8" i="18"/>
  <c r="F8" i="18"/>
  <c r="B8" i="18"/>
  <c r="Y8" i="18" s="1"/>
  <c r="AB7" i="18"/>
  <c r="AA7" i="18"/>
  <c r="H7" i="18"/>
  <c r="D7" i="18"/>
  <c r="C7" i="18"/>
  <c r="B7" i="18"/>
  <c r="G7" i="18" s="1"/>
  <c r="X6" i="18"/>
  <c r="P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P3" i="18"/>
  <c r="N3" i="18"/>
  <c r="J3" i="18"/>
  <c r="I3" i="18"/>
  <c r="B3" i="18"/>
  <c r="Z3" i="18" s="1"/>
  <c r="U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S13" i="17"/>
  <c r="C13" i="17"/>
  <c r="B13" i="17"/>
  <c r="X13" i="17" s="1"/>
  <c r="T12" i="17"/>
  <c r="S12" i="17"/>
  <c r="B12" i="17"/>
  <c r="Z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G7" i="17"/>
  <c r="B7" i="17"/>
  <c r="Q6" i="17"/>
  <c r="M6" i="17"/>
  <c r="G6" i="17"/>
  <c r="E6" i="17"/>
  <c r="B6" i="17"/>
  <c r="C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AB17" i="16"/>
  <c r="Y17" i="16"/>
  <c r="V17" i="16"/>
  <c r="H17" i="16"/>
  <c r="B17" i="16"/>
  <c r="U17" i="16" s="1"/>
  <c r="B16" i="16"/>
  <c r="AA15" i="16"/>
  <c r="X15" i="16"/>
  <c r="K15" i="16"/>
  <c r="B15" i="16"/>
  <c r="Y15" i="16" s="1"/>
  <c r="G14" i="16"/>
  <c r="F14" i="16"/>
  <c r="C14" i="16"/>
  <c r="B14" i="16"/>
  <c r="AB14" i="16" s="1"/>
  <c r="X13" i="16"/>
  <c r="W13" i="16"/>
  <c r="J13" i="16"/>
  <c r="D13" i="16"/>
  <c r="B13" i="16"/>
  <c r="C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T7" i="16"/>
  <c r="S7" i="16"/>
  <c r="R7" i="16"/>
  <c r="O7" i="16"/>
  <c r="M7" i="16"/>
  <c r="L7" i="16"/>
  <c r="H7" i="16"/>
  <c r="G7" i="16"/>
  <c r="F7" i="16"/>
  <c r="D7" i="16"/>
  <c r="C7" i="16"/>
  <c r="B7" i="16"/>
  <c r="Z7" i="16" s="1"/>
  <c r="N6" i="16"/>
  <c r="M6" i="16"/>
  <c r="B6" i="16"/>
  <c r="W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A3" i="16"/>
  <c r="X3" i="16"/>
  <c r="R3" i="16"/>
  <c r="O3" i="16"/>
  <c r="C3" i="16"/>
  <c r="B3" i="16"/>
  <c r="AB3" i="16" s="1"/>
  <c r="AA2" i="16"/>
  <c r="Y2" i="16"/>
  <c r="X2" i="16"/>
  <c r="T2" i="16"/>
  <c r="Q2" i="16"/>
  <c r="P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K15" i="15"/>
  <c r="I15" i="15"/>
  <c r="E15" i="15"/>
  <c r="C15" i="15"/>
  <c r="B15" i="15"/>
  <c r="G15" i="15" s="1"/>
  <c r="AB14" i="15"/>
  <c r="O14" i="15"/>
  <c r="M14" i="15"/>
  <c r="E14" i="15"/>
  <c r="B14" i="15"/>
  <c r="N14" i="15" s="1"/>
  <c r="R13" i="15"/>
  <c r="Q13" i="15"/>
  <c r="I13" i="15"/>
  <c r="H13" i="15"/>
  <c r="B13" i="15"/>
  <c r="AB13" i="15" s="1"/>
  <c r="B12" i="15"/>
  <c r="K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AA8" i="15"/>
  <c r="Z8" i="15"/>
  <c r="Y8" i="15"/>
  <c r="X8" i="15"/>
  <c r="L8" i="15"/>
  <c r="K8" i="15"/>
  <c r="J8" i="15"/>
  <c r="F8" i="15"/>
  <c r="C8" i="15"/>
  <c r="B8" i="15"/>
  <c r="N7" i="15"/>
  <c r="M7" i="15"/>
  <c r="B7" i="15"/>
  <c r="AB7" i="15" s="1"/>
  <c r="AB6" i="15"/>
  <c r="V6" i="15"/>
  <c r="U6" i="15"/>
  <c r="T6" i="15"/>
  <c r="R6" i="15"/>
  <c r="Q6" i="15"/>
  <c r="P6" i="15"/>
  <c r="O6" i="15"/>
  <c r="M6" i="15"/>
  <c r="J6" i="15"/>
  <c r="I6" i="15"/>
  <c r="E6" i="15"/>
  <c r="D6" i="15"/>
  <c r="B6" i="15"/>
  <c r="AA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N3" i="15"/>
  <c r="B3" i="15"/>
  <c r="AB2" i="15"/>
  <c r="Y2" i="15"/>
  <c r="S2" i="15"/>
  <c r="R2" i="15"/>
  <c r="M2" i="15"/>
  <c r="J2" i="15"/>
  <c r="F2" i="15"/>
  <c r="E2" i="15"/>
  <c r="B2" i="15"/>
  <c r="AA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Y15" i="14"/>
  <c r="W15" i="14"/>
  <c r="V15" i="14"/>
  <c r="O15" i="14"/>
  <c r="N15" i="14"/>
  <c r="M15" i="14"/>
  <c r="K15" i="14"/>
  <c r="J15" i="14"/>
  <c r="F15" i="14"/>
  <c r="E15" i="14"/>
  <c r="D15" i="14"/>
  <c r="B15" i="14"/>
  <c r="AA15" i="14" s="1"/>
  <c r="AB14" i="14"/>
  <c r="S14" i="14"/>
  <c r="R14" i="14"/>
  <c r="B14" i="14"/>
  <c r="Y14" i="14" s="1"/>
  <c r="X13" i="14"/>
  <c r="Q13" i="14"/>
  <c r="N13" i="14"/>
  <c r="K13" i="14"/>
  <c r="G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O7" i="14"/>
  <c r="N7" i="14"/>
  <c r="B7" i="14"/>
  <c r="Y7" i="14" s="1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Z3" i="14"/>
  <c r="W3" i="14"/>
  <c r="V3" i="14"/>
  <c r="U3" i="14"/>
  <c r="S3" i="14"/>
  <c r="P3" i="14"/>
  <c r="N3" i="14"/>
  <c r="M3" i="14"/>
  <c r="K3" i="14"/>
  <c r="E3" i="14"/>
  <c r="D3" i="14"/>
  <c r="C3" i="14"/>
  <c r="B3" i="14"/>
  <c r="AB2" i="14"/>
  <c r="AA2" i="14"/>
  <c r="X2" i="14"/>
  <c r="V2" i="14"/>
  <c r="U2" i="14"/>
  <c r="P2" i="14"/>
  <c r="O2" i="14"/>
  <c r="M2" i="14"/>
  <c r="L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E17" i="13"/>
  <c r="C17" i="13"/>
  <c r="B17" i="13"/>
  <c r="F17" i="13" s="1"/>
  <c r="U16" i="13"/>
  <c r="T16" i="13"/>
  <c r="H16" i="13"/>
  <c r="G16" i="13"/>
  <c r="B16" i="13"/>
  <c r="AA16" i="13" s="1"/>
  <c r="AA15" i="13"/>
  <c r="Z15" i="13"/>
  <c r="Y15" i="13"/>
  <c r="S15" i="13"/>
  <c r="O15" i="13"/>
  <c r="L15" i="13"/>
  <c r="I15" i="13"/>
  <c r="B15" i="13"/>
  <c r="AB15" i="13" s="1"/>
  <c r="AA14" i="13"/>
  <c r="Y14" i="13"/>
  <c r="W14" i="13"/>
  <c r="V14" i="13"/>
  <c r="T14" i="13"/>
  <c r="Q14" i="13"/>
  <c r="P14" i="13"/>
  <c r="O14" i="13"/>
  <c r="M14" i="13"/>
  <c r="L14" i="13"/>
  <c r="K14" i="13"/>
  <c r="J14" i="13"/>
  <c r="F14" i="13"/>
  <c r="B14" i="13"/>
  <c r="U14" i="13" s="1"/>
  <c r="B13" i="13"/>
  <c r="Z13" i="13" s="1"/>
  <c r="S12" i="13"/>
  <c r="R12" i="13"/>
  <c r="O12" i="13"/>
  <c r="M12" i="13"/>
  <c r="J12" i="13"/>
  <c r="I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A7" i="13"/>
  <c r="R7" i="13"/>
  <c r="M7" i="13"/>
  <c r="G7" i="13"/>
  <c r="F7" i="13"/>
  <c r="B7" i="13"/>
  <c r="D7" i="13" s="1"/>
  <c r="K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F3" i="13"/>
  <c r="B3" i="13"/>
  <c r="AB2" i="13"/>
  <c r="Z2" i="13"/>
  <c r="Y2" i="13"/>
  <c r="X2" i="13"/>
  <c r="V2" i="13"/>
  <c r="U2" i="13"/>
  <c r="R2" i="13"/>
  <c r="Q2" i="13"/>
  <c r="P2" i="13"/>
  <c r="M2" i="13"/>
  <c r="L2" i="13"/>
  <c r="G2" i="13"/>
  <c r="F2" i="13"/>
  <c r="E2" i="13"/>
  <c r="C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G17" i="12"/>
  <c r="B17" i="12"/>
  <c r="AB16" i="12"/>
  <c r="AA16" i="12"/>
  <c r="Z16" i="12"/>
  <c r="J16" i="12"/>
  <c r="C16" i="12"/>
  <c r="B16" i="12"/>
  <c r="Z15" i="12"/>
  <c r="T15" i="12"/>
  <c r="S15" i="12"/>
  <c r="R15" i="12"/>
  <c r="M15" i="12"/>
  <c r="K15" i="12"/>
  <c r="I15" i="12"/>
  <c r="H15" i="12"/>
  <c r="F15" i="12"/>
  <c r="E15" i="12"/>
  <c r="B15" i="12"/>
  <c r="Y15" i="12" s="1"/>
  <c r="B14" i="12"/>
  <c r="B13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W8" i="12"/>
  <c r="S8" i="12"/>
  <c r="Q8" i="12"/>
  <c r="M8" i="12"/>
  <c r="J8" i="12"/>
  <c r="H8" i="12"/>
  <c r="F8" i="12"/>
  <c r="D8" i="12"/>
  <c r="B8" i="12"/>
  <c r="AA7" i="12"/>
  <c r="Z7" i="12"/>
  <c r="B7" i="12"/>
  <c r="AB7" i="12" s="1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P3" i="12"/>
  <c r="N3" i="12"/>
  <c r="M3" i="12"/>
  <c r="L3" i="12"/>
  <c r="K3" i="12"/>
  <c r="J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O17" i="11"/>
  <c r="J17" i="11"/>
  <c r="B17" i="11"/>
  <c r="AB17" i="11" s="1"/>
  <c r="AB16" i="11"/>
  <c r="Y16" i="11"/>
  <c r="W16" i="11"/>
  <c r="V16" i="11"/>
  <c r="D16" i="11"/>
  <c r="B16" i="11"/>
  <c r="AA16" i="11" s="1"/>
  <c r="W15" i="11"/>
  <c r="R15" i="11"/>
  <c r="B15" i="11"/>
  <c r="AB14" i="11"/>
  <c r="V14" i="11"/>
  <c r="O14" i="11"/>
  <c r="I14" i="11"/>
  <c r="H14" i="11"/>
  <c r="B14" i="11"/>
  <c r="X14" i="11" s="1"/>
  <c r="AA13" i="11"/>
  <c r="Z13" i="11"/>
  <c r="Y13" i="11"/>
  <c r="X13" i="11"/>
  <c r="V13" i="11"/>
  <c r="U13" i="11"/>
  <c r="R13" i="11"/>
  <c r="Q13" i="11"/>
  <c r="M13" i="11"/>
  <c r="L13" i="11"/>
  <c r="K13" i="11"/>
  <c r="B13" i="11"/>
  <c r="AB13" i="11" s="1"/>
  <c r="AB12" i="11"/>
  <c r="Z12" i="11"/>
  <c r="Y12" i="11"/>
  <c r="U12" i="11"/>
  <c r="T12" i="11"/>
  <c r="P12" i="11"/>
  <c r="K12" i="11"/>
  <c r="J12" i="11"/>
  <c r="I12" i="11"/>
  <c r="G12" i="11"/>
  <c r="F12" i="11"/>
  <c r="E12" i="11"/>
  <c r="C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B8" i="11"/>
  <c r="B7" i="11"/>
  <c r="X6" i="11"/>
  <c r="U6" i="11"/>
  <c r="T6" i="11"/>
  <c r="R6" i="11"/>
  <c r="Q6" i="11"/>
  <c r="L6" i="11"/>
  <c r="K6" i="11"/>
  <c r="J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L3" i="11"/>
  <c r="K3" i="11"/>
  <c r="J3" i="11"/>
  <c r="H3" i="11"/>
  <c r="E3" i="11"/>
  <c r="D3" i="11"/>
  <c r="C3" i="11"/>
  <c r="B3" i="11"/>
  <c r="P3" i="11" s="1"/>
  <c r="N2" i="11"/>
  <c r="I2" i="11"/>
  <c r="G2" i="1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B15" i="10"/>
  <c r="F15" i="10" s="1"/>
  <c r="AB14" i="10"/>
  <c r="B14" i="10"/>
  <c r="AA13" i="10"/>
  <c r="B13" i="10"/>
  <c r="Z13" i="10" s="1"/>
  <c r="G12" i="10"/>
  <c r="B12" i="10"/>
  <c r="AB12" i="10" s="1"/>
  <c r="C11" i="10"/>
  <c r="B11" i="10"/>
  <c r="B10" i="10"/>
  <c r="B9" i="10"/>
  <c r="AB8" i="10"/>
  <c r="Z8" i="10"/>
  <c r="K8" i="10"/>
  <c r="I8" i="10"/>
  <c r="G8" i="10"/>
  <c r="C8" i="10"/>
  <c r="B8" i="10"/>
  <c r="B7" i="10"/>
  <c r="X7" i="10" s="1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J3" i="10"/>
  <c r="B3" i="10"/>
  <c r="Q3" i="10" s="1"/>
  <c r="Z2" i="10"/>
  <c r="Y2" i="10"/>
  <c r="U2" i="10"/>
  <c r="N2" i="10"/>
  <c r="L2" i="10"/>
  <c r="K2" i="10"/>
  <c r="G2" i="10"/>
  <c r="F2" i="10"/>
  <c r="E2" i="10"/>
  <c r="B2" i="10"/>
  <c r="AA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Q17" i="9"/>
  <c r="P17" i="9"/>
  <c r="B17" i="9"/>
  <c r="M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K15" i="9"/>
  <c r="B15" i="9"/>
  <c r="AB14" i="9"/>
  <c r="Z14" i="9"/>
  <c r="Y14" i="9"/>
  <c r="W14" i="9"/>
  <c r="V14" i="9"/>
  <c r="U14" i="9"/>
  <c r="T14" i="9"/>
  <c r="R14" i="9"/>
  <c r="Q14" i="9"/>
  <c r="P14" i="9"/>
  <c r="O14" i="9"/>
  <c r="L14" i="9"/>
  <c r="K14" i="9"/>
  <c r="J14" i="9"/>
  <c r="G14" i="9"/>
  <c r="E14" i="9"/>
  <c r="C14" i="9"/>
  <c r="B14" i="9"/>
  <c r="S14" i="9" s="1"/>
  <c r="B13" i="9"/>
  <c r="AA13" i="9" s="1"/>
  <c r="AB12" i="9"/>
  <c r="B12" i="9"/>
  <c r="H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U8" i="9"/>
  <c r="P8" i="9"/>
  <c r="N8" i="9"/>
  <c r="L8" i="9"/>
  <c r="K8" i="9"/>
  <c r="G8" i="9"/>
  <c r="F8" i="9"/>
  <c r="E8" i="9"/>
  <c r="B8" i="9"/>
  <c r="S7" i="9"/>
  <c r="Q7" i="9"/>
  <c r="B7" i="9"/>
  <c r="N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S3" i="9"/>
  <c r="K3" i="9"/>
  <c r="C3" i="9"/>
  <c r="B3" i="9"/>
  <c r="Z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M15" i="8"/>
  <c r="L15" i="8"/>
  <c r="K15" i="8"/>
  <c r="I15" i="8"/>
  <c r="H15" i="8"/>
  <c r="G15" i="8"/>
  <c r="F15" i="8"/>
  <c r="B15" i="8"/>
  <c r="AA14" i="8"/>
  <c r="Z14" i="8"/>
  <c r="Y14" i="8"/>
  <c r="V14" i="8"/>
  <c r="U14" i="8"/>
  <c r="S14" i="8"/>
  <c r="R14" i="8"/>
  <c r="O14" i="8"/>
  <c r="M14" i="8"/>
  <c r="K14" i="8"/>
  <c r="J14" i="8"/>
  <c r="G14" i="8"/>
  <c r="F14" i="8"/>
  <c r="E14" i="8"/>
  <c r="B14" i="8"/>
  <c r="W14" i="8" s="1"/>
  <c r="AB13" i="8"/>
  <c r="AA13" i="8"/>
  <c r="X13" i="8"/>
  <c r="W13" i="8"/>
  <c r="V13" i="8"/>
  <c r="U13" i="8"/>
  <c r="R13" i="8"/>
  <c r="Q13" i="8"/>
  <c r="P13" i="8"/>
  <c r="N13" i="8"/>
  <c r="M13" i="8"/>
  <c r="L13" i="8"/>
  <c r="K13" i="8"/>
  <c r="J13" i="8"/>
  <c r="I13" i="8"/>
  <c r="H13" i="8"/>
  <c r="G13" i="8"/>
  <c r="F13" i="8"/>
  <c r="E13" i="8"/>
  <c r="B13" i="8"/>
  <c r="AB12" i="8"/>
  <c r="AA12" i="8"/>
  <c r="Z12" i="8"/>
  <c r="Y12" i="8"/>
  <c r="U12" i="8"/>
  <c r="T12" i="8"/>
  <c r="Q12" i="8"/>
  <c r="O12" i="8"/>
  <c r="N12" i="8"/>
  <c r="H12" i="8"/>
  <c r="E12" i="8"/>
  <c r="D12" i="8"/>
  <c r="C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W7" i="8"/>
  <c r="T7" i="8"/>
  <c r="Q7" i="8"/>
  <c r="P7" i="8"/>
  <c r="O7" i="8"/>
  <c r="K7" i="8"/>
  <c r="J7" i="8"/>
  <c r="G7" i="8"/>
  <c r="B7" i="8"/>
  <c r="U7" i="8" s="1"/>
  <c r="P6" i="8"/>
  <c r="O6" i="8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Z3" i="8"/>
  <c r="P3" i="8"/>
  <c r="L3" i="8"/>
  <c r="K3" i="8"/>
  <c r="B3" i="8"/>
  <c r="H3" i="8" s="1"/>
  <c r="W2" i="8"/>
  <c r="V2" i="8"/>
  <c r="T2" i="8"/>
  <c r="S2" i="8"/>
  <c r="R2" i="8"/>
  <c r="P2" i="8"/>
  <c r="N2" i="8"/>
  <c r="M2" i="8"/>
  <c r="I2" i="8"/>
  <c r="H2" i="8"/>
  <c r="G2" i="8"/>
  <c r="B2" i="8"/>
  <c r="Z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Z17" i="7"/>
  <c r="V17" i="7"/>
  <c r="U17" i="7"/>
  <c r="Q17" i="7"/>
  <c r="M17" i="7"/>
  <c r="I17" i="7"/>
  <c r="H17" i="7"/>
  <c r="B17" i="7"/>
  <c r="E17" i="7" s="1"/>
  <c r="N16" i="7"/>
  <c r="M16" i="7"/>
  <c r="L16" i="7"/>
  <c r="J16" i="7"/>
  <c r="H16" i="7"/>
  <c r="G16" i="7"/>
  <c r="B16" i="7"/>
  <c r="AA16" i="7" s="1"/>
  <c r="V15" i="7"/>
  <c r="Q15" i="7"/>
  <c r="P15" i="7"/>
  <c r="G15" i="7"/>
  <c r="D15" i="7"/>
  <c r="B15" i="7"/>
  <c r="Z15" i="7" s="1"/>
  <c r="Y14" i="7"/>
  <c r="X14" i="7"/>
  <c r="R14" i="7"/>
  <c r="O14" i="7"/>
  <c r="H14" i="7"/>
  <c r="D14" i="7"/>
  <c r="B14" i="7"/>
  <c r="AB14" i="7" s="1"/>
  <c r="AA13" i="7"/>
  <c r="X13" i="7"/>
  <c r="W13" i="7"/>
  <c r="S13" i="7"/>
  <c r="Q13" i="7"/>
  <c r="J13" i="7"/>
  <c r="I13" i="7"/>
  <c r="B13" i="7"/>
  <c r="AB13" i="7" s="1"/>
  <c r="AB12" i="7"/>
  <c r="Y12" i="7"/>
  <c r="X12" i="7"/>
  <c r="W12" i="7"/>
  <c r="V12" i="7"/>
  <c r="T12" i="7"/>
  <c r="S12" i="7"/>
  <c r="R12" i="7"/>
  <c r="P12" i="7"/>
  <c r="O12" i="7"/>
  <c r="M12" i="7"/>
  <c r="L12" i="7"/>
  <c r="K12" i="7"/>
  <c r="H12" i="7"/>
  <c r="G12" i="7"/>
  <c r="F12" i="7"/>
  <c r="E12" i="7"/>
  <c r="C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Y8" i="7"/>
  <c r="T8" i="7"/>
  <c r="R8" i="7"/>
  <c r="Q8" i="7"/>
  <c r="N8" i="7"/>
  <c r="M8" i="7"/>
  <c r="K8" i="7"/>
  <c r="J8" i="7"/>
  <c r="H8" i="7"/>
  <c r="F8" i="7"/>
  <c r="D8" i="7"/>
  <c r="C8" i="7"/>
  <c r="B8" i="7"/>
  <c r="AB8" i="7" s="1"/>
  <c r="AA7" i="7"/>
  <c r="Z7" i="7"/>
  <c r="Y7" i="7"/>
  <c r="S7" i="7"/>
  <c r="R7" i="7"/>
  <c r="Q7" i="7"/>
  <c r="O7" i="7"/>
  <c r="N7" i="7"/>
  <c r="K7" i="7"/>
  <c r="J7" i="7"/>
  <c r="I7" i="7"/>
  <c r="E7" i="7"/>
  <c r="D7" i="7"/>
  <c r="C7" i="7"/>
  <c r="B7" i="7"/>
  <c r="AB7" i="7" s="1"/>
  <c r="AB6" i="7"/>
  <c r="Z6" i="7"/>
  <c r="X6" i="7"/>
  <c r="W6" i="7"/>
  <c r="V6" i="7"/>
  <c r="U6" i="7"/>
  <c r="S6" i="7"/>
  <c r="R6" i="7"/>
  <c r="Q6" i="7"/>
  <c r="P6" i="7"/>
  <c r="O6" i="7"/>
  <c r="N6" i="7"/>
  <c r="K6" i="7"/>
  <c r="I6" i="7"/>
  <c r="H6" i="7"/>
  <c r="F6" i="7"/>
  <c r="B6" i="7"/>
  <c r="AA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B3" i="7"/>
  <c r="P3" i="7" s="1"/>
  <c r="Z2" i="7"/>
  <c r="L2" i="7"/>
  <c r="H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V17" i="6"/>
  <c r="U17" i="6"/>
  <c r="T17" i="6"/>
  <c r="P17" i="6"/>
  <c r="M17" i="6"/>
  <c r="K17" i="6"/>
  <c r="J17" i="6"/>
  <c r="F17" i="6"/>
  <c r="E17" i="6"/>
  <c r="D17" i="6"/>
  <c r="B17" i="6"/>
  <c r="X17" i="6" s="1"/>
  <c r="E16" i="6"/>
  <c r="D16" i="6"/>
  <c r="C16" i="6"/>
  <c r="B16" i="6"/>
  <c r="B15" i="6"/>
  <c r="R15" i="6" s="1"/>
  <c r="B14" i="6"/>
  <c r="P14" i="6" s="1"/>
  <c r="S13" i="6"/>
  <c r="R13" i="6"/>
  <c r="Q13" i="6"/>
  <c r="N13" i="6"/>
  <c r="M13" i="6"/>
  <c r="I13" i="6"/>
  <c r="H13" i="6"/>
  <c r="G13" i="6"/>
  <c r="B13" i="6"/>
  <c r="AB12" i="6"/>
  <c r="Y12" i="6"/>
  <c r="W12" i="6"/>
  <c r="V12" i="6"/>
  <c r="U12" i="6"/>
  <c r="T12" i="6"/>
  <c r="S12" i="6"/>
  <c r="R12" i="6"/>
  <c r="N12" i="6"/>
  <c r="L12" i="6"/>
  <c r="K12" i="6"/>
  <c r="J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G8" i="6"/>
  <c r="E8" i="6"/>
  <c r="B8" i="6"/>
  <c r="AB8" i="6" s="1"/>
  <c r="B7" i="6"/>
  <c r="J7" i="6" s="1"/>
  <c r="AB6" i="6"/>
  <c r="O6" i="6"/>
  <c r="N6" i="6"/>
  <c r="M6" i="6"/>
  <c r="K6" i="6"/>
  <c r="I6" i="6"/>
  <c r="E6" i="6"/>
  <c r="B6" i="6"/>
  <c r="L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Z2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U17" i="5"/>
  <c r="T17" i="5"/>
  <c r="P17" i="5"/>
  <c r="O17" i="5"/>
  <c r="B17" i="5"/>
  <c r="D17" i="5" s="1"/>
  <c r="B16" i="5"/>
  <c r="V15" i="5"/>
  <c r="L15" i="5"/>
  <c r="K15" i="5"/>
  <c r="B15" i="5"/>
  <c r="Z15" i="5" s="1"/>
  <c r="Z14" i="5"/>
  <c r="Y14" i="5"/>
  <c r="W14" i="5"/>
  <c r="B14" i="5"/>
  <c r="D14" i="5" s="1"/>
  <c r="Z13" i="5"/>
  <c r="Y13" i="5"/>
  <c r="X13" i="5"/>
  <c r="R13" i="5"/>
  <c r="M13" i="5"/>
  <c r="K13" i="5"/>
  <c r="H13" i="5"/>
  <c r="G13" i="5"/>
  <c r="F13" i="5"/>
  <c r="D13" i="5"/>
  <c r="B13" i="5"/>
  <c r="AB13" i="5" s="1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Z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L3" i="5"/>
  <c r="B3" i="5"/>
  <c r="W3" i="5" s="1"/>
  <c r="B2" i="5"/>
  <c r="F2" i="5" s="1"/>
  <c r="B2" i="1"/>
  <c r="U6" i="14" l="1"/>
  <c r="Z6" i="14"/>
  <c r="W6" i="14"/>
  <c r="T6" i="14"/>
  <c r="K6" i="14"/>
  <c r="J6" i="14"/>
  <c r="E6" i="14"/>
  <c r="L14" i="12"/>
  <c r="X14" i="12"/>
  <c r="F13" i="13"/>
  <c r="C12" i="15"/>
  <c r="AB8" i="11"/>
  <c r="E8" i="11"/>
  <c r="T8" i="11"/>
  <c r="S8" i="11"/>
  <c r="O8" i="11"/>
  <c r="X14" i="10"/>
  <c r="I14" i="10"/>
  <c r="H14" i="10"/>
  <c r="AA14" i="10"/>
  <c r="D14" i="10"/>
  <c r="F6" i="14"/>
  <c r="Q17" i="5"/>
  <c r="D15" i="6"/>
  <c r="T7" i="9"/>
  <c r="C13" i="9"/>
  <c r="C14" i="10"/>
  <c r="H7" i="13"/>
  <c r="G13" i="13"/>
  <c r="G6" i="14"/>
  <c r="P7" i="14"/>
  <c r="O7" i="15"/>
  <c r="D12" i="15"/>
  <c r="L13" i="15"/>
  <c r="T6" i="16"/>
  <c r="Y12" i="17"/>
  <c r="Q7" i="11"/>
  <c r="H7" i="11"/>
  <c r="S7" i="11"/>
  <c r="R7" i="11"/>
  <c r="M7" i="11"/>
  <c r="C8" i="11"/>
  <c r="D14" i="6"/>
  <c r="F3" i="7"/>
  <c r="K13" i="7"/>
  <c r="S14" i="7"/>
  <c r="S15" i="7"/>
  <c r="J17" i="7"/>
  <c r="M3" i="8"/>
  <c r="R17" i="9"/>
  <c r="C15" i="10"/>
  <c r="C7" i="11"/>
  <c r="D8" i="11"/>
  <c r="J14" i="11"/>
  <c r="K14" i="12"/>
  <c r="N7" i="5"/>
  <c r="N15" i="5"/>
  <c r="R17" i="5"/>
  <c r="C8" i="6"/>
  <c r="E14" i="6"/>
  <c r="E15" i="6"/>
  <c r="W17" i="6"/>
  <c r="G3" i="7"/>
  <c r="N13" i="7"/>
  <c r="T14" i="7"/>
  <c r="T15" i="7"/>
  <c r="K17" i="7"/>
  <c r="K2" i="8"/>
  <c r="N3" i="8"/>
  <c r="H14" i="8"/>
  <c r="U7" i="9"/>
  <c r="D13" i="9"/>
  <c r="S17" i="9"/>
  <c r="H2" i="10"/>
  <c r="E14" i="10"/>
  <c r="D7" i="11"/>
  <c r="I8" i="11"/>
  <c r="M14" i="11"/>
  <c r="C17" i="11"/>
  <c r="G8" i="12"/>
  <c r="V8" i="12"/>
  <c r="U8" i="12"/>
  <c r="P8" i="12"/>
  <c r="Q14" i="12"/>
  <c r="W15" i="12"/>
  <c r="I7" i="13"/>
  <c r="H13" i="13"/>
  <c r="H6" i="14"/>
  <c r="R7" i="14"/>
  <c r="Z2" i="15"/>
  <c r="Q7" i="15"/>
  <c r="G12" i="15"/>
  <c r="N13" i="15"/>
  <c r="X15" i="10"/>
  <c r="E15" i="10"/>
  <c r="D15" i="10"/>
  <c r="Y15" i="10"/>
  <c r="I7" i="5"/>
  <c r="M15" i="5"/>
  <c r="AB15" i="6"/>
  <c r="U7" i="5"/>
  <c r="O15" i="5"/>
  <c r="S17" i="5"/>
  <c r="D8" i="6"/>
  <c r="F14" i="6"/>
  <c r="F15" i="6"/>
  <c r="H3" i="7"/>
  <c r="G7" i="7"/>
  <c r="L7" i="7"/>
  <c r="H7" i="7"/>
  <c r="X8" i="7"/>
  <c r="I8" i="7"/>
  <c r="E8" i="7"/>
  <c r="O13" i="7"/>
  <c r="V14" i="7"/>
  <c r="U15" i="7"/>
  <c r="L17" i="7"/>
  <c r="L2" i="8"/>
  <c r="O3" i="8"/>
  <c r="X12" i="8"/>
  <c r="W12" i="8"/>
  <c r="S12" i="8"/>
  <c r="I14" i="8"/>
  <c r="X7" i="9"/>
  <c r="M13" i="9"/>
  <c r="T17" i="9"/>
  <c r="J2" i="10"/>
  <c r="F14" i="10"/>
  <c r="G15" i="10"/>
  <c r="E7" i="11"/>
  <c r="J8" i="11"/>
  <c r="N14" i="11"/>
  <c r="D17" i="11"/>
  <c r="C8" i="12"/>
  <c r="R14" i="12"/>
  <c r="L7" i="13"/>
  <c r="M13" i="13"/>
  <c r="L6" i="14"/>
  <c r="S7" i="14"/>
  <c r="R7" i="15"/>
  <c r="H12" i="15"/>
  <c r="O13" i="15"/>
  <c r="X7" i="17"/>
  <c r="W7" i="17"/>
  <c r="V7" i="17"/>
  <c r="T7" i="17"/>
  <c r="S7" i="17"/>
  <c r="R7" i="17"/>
  <c r="P7" i="17"/>
  <c r="J7" i="17"/>
  <c r="F7" i="17"/>
  <c r="E7" i="17"/>
  <c r="D7" i="17"/>
  <c r="G14" i="10"/>
  <c r="V14" i="12"/>
  <c r="N13" i="13"/>
  <c r="M6" i="14"/>
  <c r="V7" i="14"/>
  <c r="S7" i="15"/>
  <c r="I12" i="15"/>
  <c r="AA7" i="19"/>
  <c r="R7" i="19"/>
  <c r="M7" i="19"/>
  <c r="H7" i="19"/>
  <c r="G7" i="19"/>
  <c r="F7" i="19"/>
  <c r="C7" i="19"/>
  <c r="K3" i="7"/>
  <c r="I15" i="10"/>
  <c r="N8" i="11"/>
  <c r="N6" i="14"/>
  <c r="P3" i="15"/>
  <c r="J3" i="15"/>
  <c r="G3" i="15"/>
  <c r="F3" i="15"/>
  <c r="Y3" i="15"/>
  <c r="X3" i="15"/>
  <c r="Q3" i="15"/>
  <c r="V7" i="15"/>
  <c r="J12" i="15"/>
  <c r="H7" i="17"/>
  <c r="L7" i="19"/>
  <c r="Z15" i="6"/>
  <c r="AA7" i="9"/>
  <c r="Q13" i="9"/>
  <c r="H15" i="10"/>
  <c r="F7" i="11"/>
  <c r="K8" i="11"/>
  <c r="X7" i="5"/>
  <c r="Q15" i="5"/>
  <c r="I14" i="6"/>
  <c r="W15" i="7"/>
  <c r="AB7" i="9"/>
  <c r="S13" i="9"/>
  <c r="P14" i="11"/>
  <c r="N17" i="6"/>
  <c r="G17" i="6"/>
  <c r="T13" i="7"/>
  <c r="AA14" i="7"/>
  <c r="Y15" i="7"/>
  <c r="R3" i="8"/>
  <c r="W8" i="9"/>
  <c r="Y8" i="9"/>
  <c r="X8" i="9"/>
  <c r="R8" i="9"/>
  <c r="W13" i="9"/>
  <c r="K15" i="10"/>
  <c r="I7" i="11"/>
  <c r="P8" i="11"/>
  <c r="Q14" i="11"/>
  <c r="P17" i="11"/>
  <c r="Y14" i="12"/>
  <c r="S7" i="13"/>
  <c r="R13" i="13"/>
  <c r="X15" i="13"/>
  <c r="H15" i="13"/>
  <c r="F15" i="13"/>
  <c r="E15" i="13"/>
  <c r="R15" i="13"/>
  <c r="Q15" i="13"/>
  <c r="M15" i="13"/>
  <c r="O6" i="14"/>
  <c r="C3" i="15"/>
  <c r="W7" i="15"/>
  <c r="T13" i="15"/>
  <c r="K7" i="17"/>
  <c r="AB17" i="17"/>
  <c r="AA17" i="17"/>
  <c r="Z17" i="17"/>
  <c r="Y17" i="17"/>
  <c r="W17" i="17"/>
  <c r="U17" i="17"/>
  <c r="O17" i="17"/>
  <c r="M17" i="17"/>
  <c r="L17" i="17"/>
  <c r="U7" i="19"/>
  <c r="U12" i="15"/>
  <c r="O12" i="15"/>
  <c r="M12" i="15"/>
  <c r="L12" i="15"/>
  <c r="AA12" i="15"/>
  <c r="Z12" i="15"/>
  <c r="T12" i="15"/>
  <c r="H14" i="6"/>
  <c r="U17" i="9"/>
  <c r="H15" i="6"/>
  <c r="Q3" i="8"/>
  <c r="W17" i="9"/>
  <c r="J14" i="10"/>
  <c r="G7" i="11"/>
  <c r="W14" i="12"/>
  <c r="O13" i="13"/>
  <c r="Y7" i="5"/>
  <c r="O14" i="5"/>
  <c r="R15" i="5"/>
  <c r="V17" i="5"/>
  <c r="H8" i="6"/>
  <c r="J14" i="6"/>
  <c r="I15" i="6"/>
  <c r="AB17" i="6"/>
  <c r="L3" i="7"/>
  <c r="S17" i="7"/>
  <c r="X17" i="9"/>
  <c r="K14" i="10"/>
  <c r="Z7" i="5"/>
  <c r="V14" i="5"/>
  <c r="S15" i="5"/>
  <c r="W17" i="5"/>
  <c r="I8" i="6"/>
  <c r="AB13" i="6"/>
  <c r="O13" i="6"/>
  <c r="K14" i="6"/>
  <c r="J15" i="6"/>
  <c r="C17" i="6"/>
  <c r="M3" i="7"/>
  <c r="F7" i="7"/>
  <c r="G8" i="7"/>
  <c r="V13" i="7"/>
  <c r="T17" i="7"/>
  <c r="Q2" i="8"/>
  <c r="S3" i="8"/>
  <c r="M7" i="8"/>
  <c r="N14" i="8"/>
  <c r="C8" i="9"/>
  <c r="X13" i="9"/>
  <c r="P2" i="10"/>
  <c r="L14" i="10"/>
  <c r="L15" i="10"/>
  <c r="J7" i="11"/>
  <c r="Q8" i="11"/>
  <c r="R14" i="11"/>
  <c r="I8" i="12"/>
  <c r="AB14" i="12"/>
  <c r="U7" i="13"/>
  <c r="S13" i="13"/>
  <c r="C15" i="13"/>
  <c r="P6" i="14"/>
  <c r="X15" i="14"/>
  <c r="T15" i="14"/>
  <c r="R15" i="14"/>
  <c r="Q15" i="14"/>
  <c r="H15" i="14"/>
  <c r="G15" i="14"/>
  <c r="Z15" i="14"/>
  <c r="C15" i="14"/>
  <c r="D3" i="15"/>
  <c r="Y7" i="15"/>
  <c r="N12" i="15"/>
  <c r="V13" i="15"/>
  <c r="O7" i="17"/>
  <c r="E17" i="17"/>
  <c r="C15" i="6"/>
  <c r="V7" i="5"/>
  <c r="P15" i="5"/>
  <c r="G15" i="6"/>
  <c r="J3" i="7"/>
  <c r="AA7" i="5"/>
  <c r="T15" i="5"/>
  <c r="L14" i="6"/>
  <c r="K15" i="6"/>
  <c r="N3" i="7"/>
  <c r="X15" i="7"/>
  <c r="R15" i="7"/>
  <c r="N15" i="7"/>
  <c r="AA15" i="7"/>
  <c r="V3" i="8"/>
  <c r="Y13" i="9"/>
  <c r="M14" i="10"/>
  <c r="M15" i="10"/>
  <c r="K7" i="11"/>
  <c r="R8" i="11"/>
  <c r="T14" i="11"/>
  <c r="X15" i="12"/>
  <c r="P15" i="12"/>
  <c r="AB15" i="12"/>
  <c r="D15" i="12"/>
  <c r="AA15" i="12"/>
  <c r="C15" i="12"/>
  <c r="V15" i="12"/>
  <c r="W7" i="13"/>
  <c r="T13" i="13"/>
  <c r="D15" i="13"/>
  <c r="Q6" i="14"/>
  <c r="E3" i="15"/>
  <c r="Z7" i="15"/>
  <c r="P12" i="15"/>
  <c r="W13" i="15"/>
  <c r="AB12" i="16"/>
  <c r="X12" i="16"/>
  <c r="W12" i="16"/>
  <c r="K12" i="16"/>
  <c r="I12" i="16"/>
  <c r="U7" i="17"/>
  <c r="Q17" i="17"/>
  <c r="AB7" i="5"/>
  <c r="U15" i="5"/>
  <c r="M14" i="6"/>
  <c r="L15" i="6"/>
  <c r="Y2" i="7"/>
  <c r="G2" i="7"/>
  <c r="C15" i="7"/>
  <c r="AB15" i="7"/>
  <c r="W3" i="8"/>
  <c r="Z13" i="9"/>
  <c r="N14" i="10"/>
  <c r="N15" i="10"/>
  <c r="L7" i="11"/>
  <c r="X8" i="11"/>
  <c r="U14" i="11"/>
  <c r="F6" i="12"/>
  <c r="Z7" i="13"/>
  <c r="U13" i="13"/>
  <c r="G15" i="13"/>
  <c r="R6" i="14"/>
  <c r="X2" i="15"/>
  <c r="K2" i="15"/>
  <c r="I2" i="15"/>
  <c r="H2" i="15"/>
  <c r="V2" i="15"/>
  <c r="U2" i="15"/>
  <c r="P2" i="15"/>
  <c r="I3" i="15"/>
  <c r="AA7" i="15"/>
  <c r="Q12" i="15"/>
  <c r="Z2" i="17"/>
  <c r="W2" i="17"/>
  <c r="I2" i="17"/>
  <c r="G2" i="17"/>
  <c r="F2" i="17"/>
  <c r="Y7" i="17"/>
  <c r="R17" i="17"/>
  <c r="C2" i="15"/>
  <c r="K3" i="15"/>
  <c r="R12" i="15"/>
  <c r="Y12" i="16"/>
  <c r="J2" i="17"/>
  <c r="Z7" i="17"/>
  <c r="X17" i="17"/>
  <c r="X3" i="7"/>
  <c r="O3" i="7"/>
  <c r="O14" i="10"/>
  <c r="O15" i="10"/>
  <c r="N7" i="11"/>
  <c r="S7" i="12"/>
  <c r="P7" i="12"/>
  <c r="G7" i="12"/>
  <c r="AA3" i="13"/>
  <c r="D3" i="13"/>
  <c r="V3" i="13"/>
  <c r="P3" i="13"/>
  <c r="K3" i="13"/>
  <c r="AB6" i="13"/>
  <c r="Z6" i="13"/>
  <c r="P6" i="13"/>
  <c r="J6" i="13"/>
  <c r="V13" i="13"/>
  <c r="S6" i="14"/>
  <c r="AA14" i="5"/>
  <c r="W15" i="5"/>
  <c r="K13" i="6"/>
  <c r="O14" i="6"/>
  <c r="N15" i="6"/>
  <c r="H17" i="6"/>
  <c r="I2" i="7"/>
  <c r="T3" i="7"/>
  <c r="M7" i="7"/>
  <c r="L8" i="7"/>
  <c r="E15" i="7"/>
  <c r="AA17" i="7"/>
  <c r="U2" i="8"/>
  <c r="AA3" i="8"/>
  <c r="S7" i="8"/>
  <c r="R12" i="8"/>
  <c r="T14" i="8"/>
  <c r="F3" i="9"/>
  <c r="C7" i="9"/>
  <c r="I8" i="9"/>
  <c r="C12" i="9"/>
  <c r="X14" i="9"/>
  <c r="I14" i="9"/>
  <c r="H14" i="9"/>
  <c r="AA14" i="9"/>
  <c r="D14" i="9"/>
  <c r="AA15" i="9"/>
  <c r="Y15" i="9"/>
  <c r="M15" i="9"/>
  <c r="Z12" i="10"/>
  <c r="P14" i="10"/>
  <c r="P15" i="10"/>
  <c r="O7" i="11"/>
  <c r="M12" i="11"/>
  <c r="X12" i="11"/>
  <c r="W14" i="11"/>
  <c r="D7" i="12"/>
  <c r="R8" i="12"/>
  <c r="G15" i="12"/>
  <c r="C3" i="13"/>
  <c r="G6" i="13"/>
  <c r="AB7" i="13"/>
  <c r="AB12" i="13"/>
  <c r="X12" i="13"/>
  <c r="V12" i="13"/>
  <c r="U12" i="13"/>
  <c r="H12" i="13"/>
  <c r="D12" i="13"/>
  <c r="X13" i="13"/>
  <c r="J15" i="13"/>
  <c r="X6" i="14"/>
  <c r="I15" i="14"/>
  <c r="D2" i="15"/>
  <c r="L3" i="15"/>
  <c r="G8" i="15"/>
  <c r="E8" i="15"/>
  <c r="D8" i="15"/>
  <c r="W8" i="15"/>
  <c r="T8" i="15"/>
  <c r="M8" i="15"/>
  <c r="S12" i="15"/>
  <c r="D14" i="15"/>
  <c r="L2" i="17"/>
  <c r="AB14" i="5"/>
  <c r="Y15" i="5"/>
  <c r="P15" i="6"/>
  <c r="K2" i="7"/>
  <c r="U3" i="7"/>
  <c r="Z14" i="7"/>
  <c r="U14" i="7"/>
  <c r="Q14" i="7"/>
  <c r="F15" i="7"/>
  <c r="AB3" i="8"/>
  <c r="G3" i="9"/>
  <c r="D7" i="9"/>
  <c r="D12" i="9"/>
  <c r="AA12" i="10"/>
  <c r="Q14" i="10"/>
  <c r="Q15" i="10"/>
  <c r="P7" i="11"/>
  <c r="E7" i="12"/>
  <c r="E3" i="13"/>
  <c r="H6" i="13"/>
  <c r="Y13" i="13"/>
  <c r="K15" i="13"/>
  <c r="AA6" i="14"/>
  <c r="M3" i="15"/>
  <c r="V12" i="15"/>
  <c r="R14" i="10"/>
  <c r="R15" i="10"/>
  <c r="T7" i="11"/>
  <c r="Z7" i="14"/>
  <c r="AB7" i="14"/>
  <c r="X7" i="14"/>
  <c r="W7" i="14"/>
  <c r="K7" i="14"/>
  <c r="J7" i="14"/>
  <c r="E7" i="14"/>
  <c r="X7" i="15"/>
  <c r="K7" i="15"/>
  <c r="I7" i="15"/>
  <c r="H7" i="15"/>
  <c r="U7" i="15"/>
  <c r="T7" i="15"/>
  <c r="P7" i="15"/>
  <c r="U14" i="6"/>
  <c r="Q14" i="6"/>
  <c r="S3" i="7"/>
  <c r="V3" i="7"/>
  <c r="F7" i="12"/>
  <c r="W12" i="15"/>
  <c r="I6" i="5"/>
  <c r="C15" i="5"/>
  <c r="AA15" i="5"/>
  <c r="J6" i="6"/>
  <c r="X12" i="6"/>
  <c r="D12" i="6"/>
  <c r="P13" i="6"/>
  <c r="S14" i="6"/>
  <c r="L17" i="6"/>
  <c r="M2" i="7"/>
  <c r="Z3" i="7"/>
  <c r="P7" i="7"/>
  <c r="P8" i="7"/>
  <c r="F14" i="7"/>
  <c r="H15" i="7"/>
  <c r="Y7" i="8"/>
  <c r="V12" i="8"/>
  <c r="O3" i="9"/>
  <c r="G7" i="9"/>
  <c r="M8" i="9"/>
  <c r="F14" i="9"/>
  <c r="E17" i="9"/>
  <c r="D13" i="10"/>
  <c r="S14" i="10"/>
  <c r="T15" i="10"/>
  <c r="U7" i="11"/>
  <c r="I7" i="12"/>
  <c r="X8" i="12"/>
  <c r="J15" i="12"/>
  <c r="S2" i="13"/>
  <c r="D2" i="13"/>
  <c r="O2" i="13"/>
  <c r="N2" i="13"/>
  <c r="I2" i="13"/>
  <c r="I3" i="13"/>
  <c r="M6" i="13"/>
  <c r="L12" i="13"/>
  <c r="N15" i="13"/>
  <c r="L3" i="14"/>
  <c r="J3" i="14"/>
  <c r="I3" i="14"/>
  <c r="Y3" i="14"/>
  <c r="X3" i="14"/>
  <c r="T3" i="14"/>
  <c r="C7" i="14"/>
  <c r="L15" i="14"/>
  <c r="G2" i="15"/>
  <c r="T3" i="15"/>
  <c r="C7" i="15"/>
  <c r="H8" i="15"/>
  <c r="X12" i="15"/>
  <c r="X17" i="18"/>
  <c r="U17" i="18"/>
  <c r="T17" i="18"/>
  <c r="S17" i="18"/>
  <c r="R17" i="18"/>
  <c r="Q17" i="18"/>
  <c r="P17" i="18"/>
  <c r="O17" i="18"/>
  <c r="N17" i="18"/>
  <c r="L17" i="18"/>
  <c r="J17" i="18"/>
  <c r="G17" i="18"/>
  <c r="E17" i="18"/>
  <c r="D17" i="18"/>
  <c r="C17" i="18"/>
  <c r="AB17" i="18"/>
  <c r="AA17" i="18"/>
  <c r="Y17" i="18"/>
  <c r="W17" i="18"/>
  <c r="X15" i="6"/>
  <c r="O15" i="6"/>
  <c r="Y12" i="9"/>
  <c r="X12" i="9"/>
  <c r="O12" i="9"/>
  <c r="E6" i="5"/>
  <c r="R14" i="6"/>
  <c r="T14" i="6"/>
  <c r="S15" i="6"/>
  <c r="J12" i="9"/>
  <c r="V7" i="11"/>
  <c r="J7" i="12"/>
  <c r="J3" i="13"/>
  <c r="O6" i="13"/>
  <c r="D7" i="14"/>
  <c r="U3" i="15"/>
  <c r="D7" i="15"/>
  <c r="P13" i="15"/>
  <c r="M13" i="15"/>
  <c r="K13" i="15"/>
  <c r="J13" i="15"/>
  <c r="AA13" i="15"/>
  <c r="Z13" i="15"/>
  <c r="S13" i="15"/>
  <c r="Z6" i="16"/>
  <c r="V6" i="16"/>
  <c r="S6" i="16"/>
  <c r="Q6" i="16"/>
  <c r="O6" i="16"/>
  <c r="K6" i="16"/>
  <c r="G6" i="16"/>
  <c r="F6" i="16"/>
  <c r="X12" i="17"/>
  <c r="M12" i="17"/>
  <c r="J12" i="17"/>
  <c r="I12" i="17"/>
  <c r="G12" i="17"/>
  <c r="F12" i="17"/>
  <c r="E12" i="17"/>
  <c r="D12" i="17"/>
  <c r="AB12" i="17"/>
  <c r="W12" i="17"/>
  <c r="V12" i="17"/>
  <c r="U12" i="17"/>
  <c r="Q12" i="17"/>
  <c r="W2" i="18"/>
  <c r="Z2" i="18"/>
  <c r="Y2" i="18"/>
  <c r="X2" i="18"/>
  <c r="V2" i="18"/>
  <c r="S2" i="18"/>
  <c r="R2" i="18"/>
  <c r="N2" i="18"/>
  <c r="M2" i="18"/>
  <c r="L2" i="18"/>
  <c r="G2" i="18"/>
  <c r="F2" i="18"/>
  <c r="W13" i="13"/>
  <c r="Q13" i="13"/>
  <c r="P13" i="13"/>
  <c r="K13" i="13"/>
  <c r="X15" i="5"/>
  <c r="H15" i="5"/>
  <c r="Q15" i="6"/>
  <c r="F7" i="9"/>
  <c r="F17" i="9"/>
  <c r="F13" i="10"/>
  <c r="T14" i="10"/>
  <c r="E15" i="5"/>
  <c r="C2" i="6"/>
  <c r="T2" i="6"/>
  <c r="W14" i="6"/>
  <c r="T15" i="6"/>
  <c r="O17" i="6"/>
  <c r="O2" i="7"/>
  <c r="I14" i="7"/>
  <c r="J15" i="7"/>
  <c r="C3" i="8"/>
  <c r="Y3" i="9"/>
  <c r="J7" i="9"/>
  <c r="O8" i="9"/>
  <c r="S12" i="9"/>
  <c r="G17" i="9"/>
  <c r="H13" i="10"/>
  <c r="U14" i="10"/>
  <c r="V15" i="10"/>
  <c r="W7" i="11"/>
  <c r="K7" i="12"/>
  <c r="C12" i="12"/>
  <c r="L15" i="12"/>
  <c r="L3" i="13"/>
  <c r="AA6" i="13"/>
  <c r="P15" i="13"/>
  <c r="G7" i="14"/>
  <c r="L2" i="15"/>
  <c r="W3" i="15"/>
  <c r="E7" i="15"/>
  <c r="C13" i="15"/>
  <c r="E6" i="16"/>
  <c r="C12" i="17"/>
  <c r="D2" i="18"/>
  <c r="E12" i="9"/>
  <c r="D15" i="5"/>
  <c r="S14" i="11"/>
  <c r="AA14" i="11"/>
  <c r="L14" i="11"/>
  <c r="K14" i="11"/>
  <c r="G14" i="11"/>
  <c r="V7" i="12"/>
  <c r="H7" i="14"/>
  <c r="Z3" i="15"/>
  <c r="F7" i="15"/>
  <c r="D13" i="15"/>
  <c r="H6" i="16"/>
  <c r="H12" i="17"/>
  <c r="J2" i="18"/>
  <c r="M15" i="6"/>
  <c r="J6" i="5"/>
  <c r="AB15" i="5"/>
  <c r="N2" i="7"/>
  <c r="AB3" i="7"/>
  <c r="I15" i="7"/>
  <c r="U15" i="6"/>
  <c r="Z13" i="7"/>
  <c r="R13" i="7"/>
  <c r="M13" i="7"/>
  <c r="J14" i="7"/>
  <c r="D3" i="8"/>
  <c r="J17" i="9"/>
  <c r="M13" i="10"/>
  <c r="V14" i="10"/>
  <c r="W15" i="10"/>
  <c r="H12" i="12"/>
  <c r="M3" i="13"/>
  <c r="E2" i="5"/>
  <c r="R6" i="5"/>
  <c r="J17" i="5"/>
  <c r="U7" i="7"/>
  <c r="U8" i="7"/>
  <c r="E13" i="7"/>
  <c r="L15" i="7"/>
  <c r="D17" i="7"/>
  <c r="X14" i="8"/>
  <c r="Q14" i="8"/>
  <c r="P14" i="8"/>
  <c r="L14" i="8"/>
  <c r="AB14" i="8"/>
  <c r="AA3" i="9"/>
  <c r="M7" i="9"/>
  <c r="Q8" i="9"/>
  <c r="W12" i="9"/>
  <c r="K17" i="9"/>
  <c r="P13" i="10"/>
  <c r="W14" i="10"/>
  <c r="Z15" i="10"/>
  <c r="Z7" i="11"/>
  <c r="C14" i="11"/>
  <c r="W7" i="12"/>
  <c r="Z12" i="12"/>
  <c r="N15" i="12"/>
  <c r="N3" i="13"/>
  <c r="C7" i="13"/>
  <c r="T15" i="13"/>
  <c r="F3" i="14"/>
  <c r="I7" i="14"/>
  <c r="AB13" i="14"/>
  <c r="S13" i="14"/>
  <c r="R13" i="14"/>
  <c r="P15" i="14"/>
  <c r="N2" i="15"/>
  <c r="AA3" i="15"/>
  <c r="G7" i="15"/>
  <c r="N8" i="15"/>
  <c r="E13" i="15"/>
  <c r="I6" i="16"/>
  <c r="O12" i="17"/>
  <c r="K2" i="18"/>
  <c r="U15" i="10"/>
  <c r="C2" i="5"/>
  <c r="K6" i="5"/>
  <c r="D2" i="5"/>
  <c r="M6" i="5"/>
  <c r="P2" i="7"/>
  <c r="K15" i="7"/>
  <c r="L7" i="9"/>
  <c r="U12" i="9"/>
  <c r="O2" i="8"/>
  <c r="D2" i="8"/>
  <c r="AA2" i="8"/>
  <c r="G3" i="8"/>
  <c r="W2" i="10"/>
  <c r="X2" i="10"/>
  <c r="V2" i="10"/>
  <c r="M2" i="10"/>
  <c r="W6" i="5"/>
  <c r="I13" i="5"/>
  <c r="I15" i="5"/>
  <c r="K17" i="5"/>
  <c r="AB2" i="6"/>
  <c r="P6" i="6"/>
  <c r="O12" i="6"/>
  <c r="V13" i="6"/>
  <c r="AA14" i="6"/>
  <c r="W15" i="6"/>
  <c r="R17" i="6"/>
  <c r="R2" i="7"/>
  <c r="V7" i="7"/>
  <c r="V8" i="7"/>
  <c r="F13" i="7"/>
  <c r="M14" i="7"/>
  <c r="M15" i="7"/>
  <c r="C2" i="8"/>
  <c r="T13" i="8"/>
  <c r="S13" i="8"/>
  <c r="O13" i="8"/>
  <c r="C14" i="8"/>
  <c r="Z15" i="8"/>
  <c r="O15" i="8"/>
  <c r="N15" i="8"/>
  <c r="J15" i="8"/>
  <c r="AB3" i="9"/>
  <c r="S8" i="9"/>
  <c r="Z12" i="9"/>
  <c r="M14" i="9"/>
  <c r="C2" i="10"/>
  <c r="Y13" i="10"/>
  <c r="Y14" i="10"/>
  <c r="AA15" i="10"/>
  <c r="AA7" i="11"/>
  <c r="L12" i="11"/>
  <c r="E14" i="11"/>
  <c r="I3" i="12"/>
  <c r="G3" i="12"/>
  <c r="X7" i="12"/>
  <c r="AA12" i="12"/>
  <c r="O15" i="12"/>
  <c r="H2" i="13"/>
  <c r="W3" i="13"/>
  <c r="T12" i="13"/>
  <c r="V15" i="13"/>
  <c r="G3" i="14"/>
  <c r="L7" i="14"/>
  <c r="E13" i="14"/>
  <c r="S15" i="14"/>
  <c r="O2" i="15"/>
  <c r="J7" i="15"/>
  <c r="O8" i="15"/>
  <c r="F13" i="15"/>
  <c r="AB2" i="16"/>
  <c r="W2" i="16"/>
  <c r="U2" i="16"/>
  <c r="K2" i="16"/>
  <c r="J6" i="16"/>
  <c r="P12" i="17"/>
  <c r="O2" i="18"/>
  <c r="C14" i="6"/>
  <c r="AA15" i="6"/>
  <c r="N14" i="6"/>
  <c r="Y7" i="9"/>
  <c r="W7" i="9"/>
  <c r="V7" i="9"/>
  <c r="R7" i="9"/>
  <c r="Z17" i="9"/>
  <c r="AA17" i="9"/>
  <c r="J3" i="8"/>
  <c r="E3" i="8"/>
  <c r="I7" i="9"/>
  <c r="F15" i="5"/>
  <c r="X14" i="6"/>
  <c r="AB17" i="7"/>
  <c r="G17" i="7"/>
  <c r="C17" i="7"/>
  <c r="X7" i="11"/>
  <c r="Y7" i="13"/>
  <c r="N7" i="13"/>
  <c r="X7" i="13"/>
  <c r="G15" i="5"/>
  <c r="AA2" i="6"/>
  <c r="T13" i="6"/>
  <c r="Y14" i="6"/>
  <c r="V15" i="6"/>
  <c r="Q17" i="6"/>
  <c r="Q2" i="7"/>
  <c r="L14" i="7"/>
  <c r="X6" i="5"/>
  <c r="J13" i="5"/>
  <c r="J15" i="5"/>
  <c r="L17" i="5"/>
  <c r="AA6" i="6"/>
  <c r="P12" i="6"/>
  <c r="Y13" i="6"/>
  <c r="AB14" i="6"/>
  <c r="Y15" i="6"/>
  <c r="S17" i="6"/>
  <c r="S2" i="7"/>
  <c r="W7" i="7"/>
  <c r="W8" i="7"/>
  <c r="N12" i="7"/>
  <c r="J12" i="7"/>
  <c r="H13" i="7"/>
  <c r="N14" i="7"/>
  <c r="O15" i="7"/>
  <c r="F17" i="7"/>
  <c r="F2" i="8"/>
  <c r="I3" i="8"/>
  <c r="C13" i="8"/>
  <c r="D14" i="8"/>
  <c r="E15" i="8"/>
  <c r="P7" i="9"/>
  <c r="T8" i="9"/>
  <c r="AA12" i="9"/>
  <c r="N14" i="9"/>
  <c r="O17" i="9"/>
  <c r="D2" i="10"/>
  <c r="Q8" i="10"/>
  <c r="N8" i="10"/>
  <c r="Z14" i="10"/>
  <c r="AB15" i="10"/>
  <c r="AB7" i="11"/>
  <c r="O12" i="11"/>
  <c r="F14" i="11"/>
  <c r="F3" i="12"/>
  <c r="Y7" i="12"/>
  <c r="Q15" i="12"/>
  <c r="J2" i="13"/>
  <c r="AB3" i="13"/>
  <c r="E7" i="13"/>
  <c r="W12" i="13"/>
  <c r="W15" i="13"/>
  <c r="M7" i="14"/>
  <c r="U15" i="14"/>
  <c r="Q2" i="15"/>
  <c r="G6" i="15"/>
  <c r="N6" i="15"/>
  <c r="L6" i="15"/>
  <c r="K6" i="15"/>
  <c r="X6" i="15"/>
  <c r="W6" i="15"/>
  <c r="S6" i="15"/>
  <c r="L7" i="15"/>
  <c r="R8" i="15"/>
  <c r="G13" i="15"/>
  <c r="D2" i="16"/>
  <c r="L6" i="16"/>
  <c r="R12" i="17"/>
  <c r="P2" i="18"/>
  <c r="AB8" i="18"/>
  <c r="Y12" i="18"/>
  <c r="E15" i="18"/>
  <c r="H2" i="19"/>
  <c r="K3" i="19"/>
  <c r="N6" i="19"/>
  <c r="M8" i="19"/>
  <c r="C12" i="19"/>
  <c r="K13" i="19"/>
  <c r="T14" i="19"/>
  <c r="I3" i="11"/>
  <c r="I6" i="11"/>
  <c r="N14" i="13"/>
  <c r="R2" i="14"/>
  <c r="E7" i="16"/>
  <c r="Z17" i="16"/>
  <c r="L6" i="17"/>
  <c r="K3" i="18"/>
  <c r="C8" i="18"/>
  <c r="Z12" i="18"/>
  <c r="J15" i="18"/>
  <c r="M2" i="19"/>
  <c r="M3" i="19"/>
  <c r="O6" i="19"/>
  <c r="N8" i="19"/>
  <c r="E12" i="19"/>
  <c r="L13" i="19"/>
  <c r="U14" i="19"/>
  <c r="M3" i="18"/>
  <c r="D8" i="18"/>
  <c r="K15" i="18"/>
  <c r="N2" i="19"/>
  <c r="N3" i="19"/>
  <c r="R6" i="19"/>
  <c r="O8" i="19"/>
  <c r="F12" i="19"/>
  <c r="M13" i="19"/>
  <c r="V14" i="19"/>
  <c r="E8" i="18"/>
  <c r="M15" i="18"/>
  <c r="O2" i="19"/>
  <c r="P3" i="19"/>
  <c r="W6" i="19"/>
  <c r="P8" i="19"/>
  <c r="G12" i="19"/>
  <c r="O13" i="19"/>
  <c r="AB14" i="19"/>
  <c r="M3" i="11"/>
  <c r="O6" i="11"/>
  <c r="R14" i="13"/>
  <c r="Y2" i="14"/>
  <c r="AA15" i="15"/>
  <c r="I7" i="16"/>
  <c r="J14" i="16"/>
  <c r="H8" i="17"/>
  <c r="H15" i="17"/>
  <c r="Q3" i="18"/>
  <c r="I6" i="18"/>
  <c r="G8" i="18"/>
  <c r="H13" i="18"/>
  <c r="S15" i="18"/>
  <c r="R2" i="19"/>
  <c r="R3" i="19"/>
  <c r="R8" i="19"/>
  <c r="I12" i="19"/>
  <c r="Q13" i="19"/>
  <c r="C15" i="19"/>
  <c r="P6" i="11"/>
  <c r="J13" i="11"/>
  <c r="S14" i="13"/>
  <c r="Z2" i="14"/>
  <c r="J7" i="16"/>
  <c r="Y14" i="16"/>
  <c r="J8" i="17"/>
  <c r="I15" i="17"/>
  <c r="R3" i="18"/>
  <c r="J6" i="18"/>
  <c r="J8" i="18"/>
  <c r="P13" i="18"/>
  <c r="W15" i="18"/>
  <c r="S2" i="19"/>
  <c r="S3" i="19"/>
  <c r="S8" i="19"/>
  <c r="J12" i="19"/>
  <c r="T13" i="19"/>
  <c r="E15" i="19"/>
  <c r="N8" i="17"/>
  <c r="N15" i="17"/>
  <c r="S3" i="18"/>
  <c r="K6" i="18"/>
  <c r="K8" i="18"/>
  <c r="X15" i="18"/>
  <c r="U2" i="19"/>
  <c r="T3" i="19"/>
  <c r="T8" i="19"/>
  <c r="L12" i="19"/>
  <c r="V13" i="19"/>
  <c r="F15" i="19"/>
  <c r="O6" i="18"/>
  <c r="M8" i="18"/>
  <c r="Y15" i="18"/>
  <c r="V2" i="19"/>
  <c r="U3" i="19"/>
  <c r="V8" i="19"/>
  <c r="P12" i="19"/>
  <c r="W13" i="19"/>
  <c r="G15" i="19"/>
  <c r="P7" i="16"/>
  <c r="Q8" i="17"/>
  <c r="Y3" i="18"/>
  <c r="Q6" i="18"/>
  <c r="O8" i="18"/>
  <c r="L14" i="18"/>
  <c r="AA15" i="18"/>
  <c r="X2" i="19"/>
  <c r="W3" i="19"/>
  <c r="Y8" i="19"/>
  <c r="R12" i="19"/>
  <c r="Z13" i="19"/>
  <c r="L15" i="19"/>
  <c r="C17" i="19"/>
  <c r="W6" i="18"/>
  <c r="P8" i="18"/>
  <c r="Q14" i="18"/>
  <c r="AB15" i="18"/>
  <c r="Z2" i="19"/>
  <c r="Y3" i="19"/>
  <c r="Z8" i="19"/>
  <c r="T12" i="19"/>
  <c r="AA13" i="19"/>
  <c r="M15" i="19"/>
  <c r="E17" i="19"/>
  <c r="O15" i="19"/>
  <c r="F17" i="19"/>
  <c r="D13" i="17"/>
  <c r="AA6" i="18"/>
  <c r="R8" i="18"/>
  <c r="U14" i="18"/>
  <c r="AA3" i="19"/>
  <c r="AB8" i="19"/>
  <c r="V12" i="19"/>
  <c r="F14" i="19"/>
  <c r="P15" i="19"/>
  <c r="G17" i="19"/>
  <c r="S3" i="16"/>
  <c r="U7" i="16"/>
  <c r="C17" i="16"/>
  <c r="U8" i="17"/>
  <c r="N13" i="17"/>
  <c r="S8" i="18"/>
  <c r="V14" i="18"/>
  <c r="C3" i="19"/>
  <c r="AB3" i="19"/>
  <c r="C8" i="19"/>
  <c r="Y12" i="19"/>
  <c r="G14" i="19"/>
  <c r="Q15" i="19"/>
  <c r="M17" i="19"/>
  <c r="L17" i="15"/>
  <c r="T3" i="16"/>
  <c r="V7" i="16"/>
  <c r="D17" i="16"/>
  <c r="Q13" i="17"/>
  <c r="T8" i="18"/>
  <c r="X14" i="18"/>
  <c r="D3" i="19"/>
  <c r="D8" i="19"/>
  <c r="AA12" i="19"/>
  <c r="H14" i="19"/>
  <c r="W15" i="19"/>
  <c r="O17" i="19"/>
  <c r="E14" i="13"/>
  <c r="W17" i="15"/>
  <c r="W3" i="16"/>
  <c r="X7" i="16"/>
  <c r="G17" i="16"/>
  <c r="R13" i="17"/>
  <c r="U8" i="18"/>
  <c r="Y14" i="18"/>
  <c r="E3" i="19"/>
  <c r="E8" i="19"/>
  <c r="AB12" i="19"/>
  <c r="J14" i="19"/>
  <c r="Y15" i="19"/>
  <c r="Q17" i="19"/>
  <c r="V8" i="18"/>
  <c r="AA14" i="18"/>
  <c r="K14" i="19"/>
  <c r="AA15" i="19"/>
  <c r="R17" i="19"/>
  <c r="H14" i="13"/>
  <c r="G2" i="14"/>
  <c r="Z3" i="16"/>
  <c r="AB7" i="16"/>
  <c r="J17" i="16"/>
  <c r="AA8" i="17"/>
  <c r="U13" i="17"/>
  <c r="D3" i="18"/>
  <c r="W8" i="18"/>
  <c r="G3" i="19"/>
  <c r="E6" i="19"/>
  <c r="G8" i="19"/>
  <c r="C13" i="19"/>
  <c r="L14" i="19"/>
  <c r="AB15" i="19"/>
  <c r="V17" i="19"/>
  <c r="R17" i="16"/>
  <c r="W13" i="17"/>
  <c r="E3" i="18"/>
  <c r="X8" i="18"/>
  <c r="H3" i="19"/>
  <c r="G6" i="19"/>
  <c r="H8" i="19"/>
  <c r="D13" i="19"/>
  <c r="O14" i="19"/>
  <c r="Y17" i="19"/>
  <c r="H3" i="18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<sst xmlns="http://schemas.openxmlformats.org/spreadsheetml/2006/main" count="3113" uniqueCount="587">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</sst>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96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MA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4.0141912555598368E-2</v>
      </c>
      <c r="C2" s="7">
        <f>$B2 * IFERROR(VLOOKUP("transport|PM25|Premature mortality", US_national_yearly!$D:$AM, 11, FALSE) / VLOOKUP("transport|PM25|Premature mortality", US_national_yearly!$D:$AM, 10, FALSE), 1)</f>
        <v>4.063958430084303E-2</v>
      </c>
      <c r="D2" s="7">
        <f>$B2 * IFERROR(VLOOKUP("transport|PM25|Premature mortality", US_national_yearly!$D:$AM, 12, FALSE) / VLOOKUP("transport|PM25|Premature mortality", US_national_yearly!$D:$AM, 10, FALSE), 1)</f>
        <v>4.1137256046087686E-2</v>
      </c>
      <c r="E2" s="7">
        <f>$B2 * IFERROR(VLOOKUP("transport|PM25|Premature mortality", US_national_yearly!$D:$AM, 13, FALSE) / VLOOKUP("transport|PM25|Premature mortality", US_national_yearly!$D:$AM, 10, FALSE), 1)</f>
        <v>4.1634927791332342E-2</v>
      </c>
      <c r="F2" s="7">
        <f>$B2 * IFERROR(VLOOKUP("transport|PM25|Premature mortality", US_national_yearly!$D:$AM, 14, FALSE) / VLOOKUP("transport|PM25|Premature mortality", US_national_yearly!$D:$AM, 10, FALSE), 1)</f>
        <v>4.2132599536576998E-2</v>
      </c>
      <c r="G2" s="7">
        <f>$B2 * IFERROR(VLOOKUP("transport|PM25|Premature mortality", US_national_yearly!$D:$AM, 15, FALSE) / VLOOKUP("transport|PM25|Premature mortality", US_national_yearly!$D:$AM, 10, FALSE), 1)</f>
        <v>4.310181150708952E-2</v>
      </c>
      <c r="H2" s="7">
        <f>$B2 * IFERROR(VLOOKUP("transport|PM25|Premature mortality", US_national_yearly!$D:$AM, 16, FALSE) / VLOOKUP("transport|PM25|Premature mortality", US_national_yearly!$D:$AM, 10, FALSE), 1)</f>
        <v>4.4071023477602035E-2</v>
      </c>
      <c r="I2" s="7">
        <f>$B2 * IFERROR(VLOOKUP("transport|PM25|Premature mortality", US_national_yearly!$D:$AM, 17, FALSE) / VLOOKUP("transport|PM25|Premature mortality", US_national_yearly!$D:$AM, 10, FALSE), 1)</f>
        <v>4.4707642698943818E-2</v>
      </c>
      <c r="J2" s="7">
        <f>$B2 * IFERROR(VLOOKUP("transport|PM25|Premature mortality", US_national_yearly!$D:$AM, 18, FALSE) / VLOOKUP("transport|PM25|Premature mortality", US_national_yearly!$D:$AM, 10, FALSE), 1)</f>
        <v>4.5344261920285622E-2</v>
      </c>
      <c r="K2" s="7">
        <f>$B2 * IFERROR(VLOOKUP("transport|PM25|Premature mortality", US_national_yearly!$D:$AM, 19, FALSE) / VLOOKUP("transport|PM25|Premature mortality", US_national_yearly!$D:$AM, 10, FALSE), 1)</f>
        <v>4.5980881141627412E-2</v>
      </c>
      <c r="L2" s="7">
        <f>$B2 * IFERROR(VLOOKUP("transport|PM25|Premature mortality", US_national_yearly!$D:$AM, 20, FALSE) / VLOOKUP("transport|PM25|Premature mortality", US_national_yearly!$D:$AM, 10, FALSE), 1)</f>
        <v>4.6617500362969209E-2</v>
      </c>
      <c r="M2" s="7">
        <f>$B2 * IFERROR(VLOOKUP("transport|PM25|Premature mortality", US_national_yearly!$D:$AM, 21, FALSE) / VLOOKUP("transport|PM25|Premature mortality", US_national_yearly!$D:$AM, 10, FALSE), 1)</f>
        <v>4.7254119584311E-2</v>
      </c>
      <c r="N2" s="7">
        <f>$B2 * IFERROR(VLOOKUP("transport|PM25|Premature mortality", US_national_yearly!$D:$AM, 22, FALSE) / VLOOKUP("transport|PM25|Premature mortality", US_national_yearly!$D:$AM, 10, FALSE), 1)</f>
        <v>4.7748413892664092E-2</v>
      </c>
      <c r="O2" s="7">
        <f>$B2 * IFERROR(VLOOKUP("transport|PM25|Premature mortality", US_national_yearly!$D:$AM, 23, FALSE) / VLOOKUP("transport|PM25|Premature mortality", US_national_yearly!$D:$AM, 10, FALSE), 1)</f>
        <v>4.8242708201017184E-2</v>
      </c>
      <c r="P2" s="7">
        <f>$B2 * IFERROR(VLOOKUP("transport|PM25|Premature mortality", US_national_yearly!$D:$AM, 24, FALSE) / VLOOKUP("transport|PM25|Premature mortality", US_national_yearly!$D:$AM, 10, FALSE), 1)</f>
        <v>4.873700250937027E-2</v>
      </c>
      <c r="Q2" s="7">
        <f>$B2 * IFERROR(VLOOKUP("transport|PM25|Premature mortality", US_national_yearly!$D:$AM, 25, FALSE) / VLOOKUP("transport|PM25|Premature mortality", US_national_yearly!$D:$AM, 10, FALSE), 1)</f>
        <v>4.9231296817723362E-2</v>
      </c>
      <c r="R2" s="7">
        <f>$B2 * IFERROR(VLOOKUP("transport|PM25|Premature mortality", US_national_yearly!$D:$AM, 26, FALSE) / VLOOKUP("transport|PM25|Premature mortality", US_national_yearly!$D:$AM, 10, FALSE), 1)</f>
        <v>4.9725591126076461E-2</v>
      </c>
      <c r="S2" s="7">
        <f>$B2 * IFERROR(VLOOKUP("transport|PM25|Premature mortality", US_national_yearly!$D:$AM, 27, FALSE) / VLOOKUP("transport|PM25|Premature mortality", US_national_yearly!$D:$AM, 10, FALSE), 1)</f>
        <v>4.9987453564668535E-2</v>
      </c>
      <c r="T2" s="7">
        <f>$B2 * IFERROR(VLOOKUP("transport|PM25|Premature mortality", US_national_yearly!$D:$AM, 28, FALSE) / VLOOKUP("transport|PM25|Premature mortality", US_national_yearly!$D:$AM, 10, FALSE), 1)</f>
        <v>5.0249316003260602E-2</v>
      </c>
      <c r="U2" s="7">
        <f>$B2 * IFERROR(VLOOKUP("transport|PM25|Premature mortality", US_national_yearly!$D:$AM, 29, FALSE) / VLOOKUP("transport|PM25|Premature mortality", US_national_yearly!$D:$AM, 10, FALSE), 1)</f>
        <v>5.0511178441852662E-2</v>
      </c>
      <c r="V2" s="7">
        <f>$B2 * IFERROR(VLOOKUP("transport|PM25|Premature mortality", US_national_yearly!$D:$AM, 30, FALSE) / VLOOKUP("transport|PM25|Premature mortality", US_national_yearly!$D:$AM, 10, FALSE), 1)</f>
        <v>5.0773040880444729E-2</v>
      </c>
      <c r="W2" s="7">
        <f>$B2 * IFERROR(VLOOKUP("transport|PM25|Premature mortality", US_national_yearly!$D:$AM, 31, FALSE) / VLOOKUP("transport|PM25|Premature mortality", US_national_yearly!$D:$AM, 10, FALSE), 1)</f>
        <v>5.1034903319036796E-2</v>
      </c>
      <c r="X2" s="7">
        <f>$B2 * IFERROR(VLOOKUP("transport|PM25|Premature mortality", US_national_yearly!$D:$AM, 32, FALSE) / VLOOKUP("transport|PM25|Premature mortality", US_national_yearly!$D:$AM, 10, FALSE), 1)</f>
        <v>5.1080691992070902E-2</v>
      </c>
      <c r="Y2" s="7">
        <f>$B2 * IFERROR(VLOOKUP("transport|PM25|Premature mortality", US_national_yearly!$D:$AM, 33, FALSE) / VLOOKUP("transport|PM25|Premature mortality", US_national_yearly!$D:$AM, 10, FALSE), 1)</f>
        <v>5.1126480665105029E-2</v>
      </c>
      <c r="Z2" s="7">
        <f>$B2 * IFERROR(VLOOKUP("transport|PM25|Premature mortality", US_national_yearly!$D:$AM, 34, FALSE) / VLOOKUP("transport|PM25|Premature mortality", US_national_yearly!$D:$AM, 10, FALSE), 1)</f>
        <v>5.1172269338139134E-2</v>
      </c>
      <c r="AA2" s="7">
        <f>$B2 * IFERROR(VLOOKUP("transport|PM25|Premature mortality", US_national_yearly!$D:$AM, 35, FALSE) / VLOOKUP("transport|PM25|Premature mortality", US_national_yearly!$D:$AM, 10, FALSE), 1)</f>
        <v>5.1218058011173254E-2</v>
      </c>
      <c r="AB2" s="7">
        <f>$B2 * IFERROR(VLOOKUP("transport|PM25|Premature mortality", US_national_yearly!$D:$AM, 36, FALSE) / VLOOKUP("transport|PM25|Premature mortality", US_national_yearly!$D:$AM, 10, FALSE), 1)</f>
        <v>5.1263846684207366E-2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6.5606491270813792E-5</v>
      </c>
      <c r="C3" s="7">
        <f>$B3 * IFERROR(VLOOKUP("transport|PM25|Infant mortality", US_national_yearly!$D:$AM, 11, FALSE) / VLOOKUP("transport|PM25|Infant mortality", US_national_yearly!$D:$AM, 10, FALSE), 1)</f>
        <v>6.5034462533282292E-5</v>
      </c>
      <c r="D3" s="7">
        <f>$B3 * IFERROR(VLOOKUP("transport|PM25|Infant mortality", US_national_yearly!$D:$AM, 12, FALSE) / VLOOKUP("transport|PM25|Infant mortality", US_national_yearly!$D:$AM, 10, FALSE), 1)</f>
        <v>6.4462433795750793E-5</v>
      </c>
      <c r="E3" s="7">
        <f>$B3 * IFERROR(VLOOKUP("transport|PM25|Infant mortality", US_national_yearly!$D:$AM, 13, FALSE) / VLOOKUP("transport|PM25|Infant mortality", US_national_yearly!$D:$AM, 10, FALSE), 1)</f>
        <v>6.3890405058219306E-5</v>
      </c>
      <c r="F3" s="7">
        <f>$B3 * IFERROR(VLOOKUP("transport|PM25|Infant mortality", US_national_yearly!$D:$AM, 14, FALSE) / VLOOKUP("transport|PM25|Infant mortality", US_national_yearly!$D:$AM, 10, FALSE), 1)</f>
        <v>6.3318376320687793E-5</v>
      </c>
      <c r="G3" s="7">
        <f>$B3 * IFERROR(VLOOKUP("transport|PM25|Infant mortality", US_national_yearly!$D:$AM, 15, FALSE) / VLOOKUP("transport|PM25|Infant mortality", US_national_yearly!$D:$AM, 10, FALSE), 1)</f>
        <v>4.2110107277062831E-5</v>
      </c>
      <c r="H3" s="7">
        <f>$B3 * IFERROR(VLOOKUP("transport|PM25|Infant mortality", US_national_yearly!$D:$AM, 16, FALSE) / VLOOKUP("transport|PM25|Infant mortality", US_national_yearly!$D:$AM, 10, FALSE), 1)</f>
        <v>2.0901838233437863E-5</v>
      </c>
      <c r="I3" s="7">
        <f>$B3 * IFERROR(VLOOKUP("transport|PM25|Infant mortality", US_national_yearly!$D:$AM, 17, FALSE) / VLOOKUP("transport|PM25|Infant mortality", US_national_yearly!$D:$AM, 10, FALSE), 1)</f>
        <v>2.0765210193824686E-5</v>
      </c>
      <c r="J3" s="7">
        <f>$B3 * IFERROR(VLOOKUP("transport|PM25|Infant mortality", US_national_yearly!$D:$AM, 18, FALSE) / VLOOKUP("transport|PM25|Infant mortality", US_national_yearly!$D:$AM, 10, FALSE), 1)</f>
        <v>2.0628582154211501E-5</v>
      </c>
      <c r="K3" s="7">
        <f>$B3 * IFERROR(VLOOKUP("transport|PM25|Infant mortality", US_national_yearly!$D:$AM, 19, FALSE) / VLOOKUP("transport|PM25|Infant mortality", US_national_yearly!$D:$AM, 10, FALSE), 1)</f>
        <v>2.049195411459832E-5</v>
      </c>
      <c r="L3" s="7">
        <f>$B3 * IFERROR(VLOOKUP("transport|PM25|Infant mortality", US_national_yearly!$D:$AM, 20, FALSE) / VLOOKUP("transport|PM25|Infant mortality", US_national_yearly!$D:$AM, 10, FALSE), 1)</f>
        <v>2.0355326074985139E-5</v>
      </c>
      <c r="M3" s="7">
        <f>$B3 * IFERROR(VLOOKUP("transport|PM25|Infant mortality", US_national_yearly!$D:$AM, 21, FALSE) / VLOOKUP("transport|PM25|Infant mortality", US_national_yearly!$D:$AM, 10, FALSE), 1)</f>
        <v>2.0218698035371962E-5</v>
      </c>
      <c r="N3" s="7">
        <f>$B3 * IFERROR(VLOOKUP("transport|PM25|Infant mortality", US_national_yearly!$D:$AM, 22, FALSE) / VLOOKUP("transport|PM25|Infant mortality", US_national_yearly!$D:$AM, 10, FALSE), 1)</f>
        <v>2.0132880500293607E-5</v>
      </c>
      <c r="O3" s="7">
        <f>$B3 * IFERROR(VLOOKUP("transport|PM25|Infant mortality", US_national_yearly!$D:$AM, 23, FALSE) / VLOOKUP("transport|PM25|Infant mortality", US_national_yearly!$D:$AM, 10, FALSE), 1)</f>
        <v>2.0047062965215252E-5</v>
      </c>
      <c r="P3" s="7">
        <f>$B3 * IFERROR(VLOOKUP("transport|PM25|Infant mortality", US_national_yearly!$D:$AM, 24, FALSE) / VLOOKUP("transport|PM25|Infant mortality", US_national_yearly!$D:$AM, 10, FALSE), 1)</f>
        <v>1.9961245430136894E-5</v>
      </c>
      <c r="Q3" s="7">
        <f>$B3 * IFERROR(VLOOKUP("transport|PM25|Infant mortality", US_national_yearly!$D:$AM, 25, FALSE) / VLOOKUP("transport|PM25|Infant mortality", US_national_yearly!$D:$AM, 10, FALSE), 1)</f>
        <v>1.9875427895058543E-5</v>
      </c>
      <c r="R3" s="7">
        <f>$B3 * IFERROR(VLOOKUP("transport|PM25|Infant mortality", US_national_yearly!$D:$AM, 26, FALSE) / VLOOKUP("transport|PM25|Infant mortality", US_national_yearly!$D:$AM, 10, FALSE), 1)</f>
        <v>1.9789610359980185E-5</v>
      </c>
      <c r="S3" s="7">
        <f>$B3 * IFERROR(VLOOKUP("transport|PM25|Infant mortality", US_national_yearly!$D:$AM, 27, FALSE) / VLOOKUP("transport|PM25|Infant mortality", US_national_yearly!$D:$AM, 10, FALSE), 1)</f>
        <v>1.968263704782832E-5</v>
      </c>
      <c r="T3" s="7">
        <f>$B3 * IFERROR(VLOOKUP("transport|PM25|Infant mortality", US_national_yearly!$D:$AM, 28, FALSE) / VLOOKUP("transport|PM25|Infant mortality", US_national_yearly!$D:$AM, 10, FALSE), 1)</f>
        <v>1.9575663735676451E-5</v>
      </c>
      <c r="U3" s="7">
        <f>$B3 * IFERROR(VLOOKUP("transport|PM25|Infant mortality", US_national_yearly!$D:$AM, 29, FALSE) / VLOOKUP("transport|PM25|Infant mortality", US_national_yearly!$D:$AM, 10, FALSE), 1)</f>
        <v>1.9468690423524586E-5</v>
      </c>
      <c r="V3" s="7">
        <f>$B3 * IFERROR(VLOOKUP("transport|PM25|Infant mortality", US_national_yearly!$D:$AM, 30, FALSE) / VLOOKUP("transport|PM25|Infant mortality", US_national_yearly!$D:$AM, 10, FALSE), 1)</f>
        <v>1.9361717111372721E-5</v>
      </c>
      <c r="W3" s="7">
        <f>$B3 * IFERROR(VLOOKUP("transport|PM25|Infant mortality", US_national_yearly!$D:$AM, 31, FALSE) / VLOOKUP("transport|PM25|Infant mortality", US_national_yearly!$D:$AM, 10, FALSE), 1)</f>
        <v>1.9254743799220853E-5</v>
      </c>
      <c r="X3" s="7">
        <f>$B3 * IFERROR(VLOOKUP("transport|PM25|Infant mortality", US_national_yearly!$D:$AM, 32, FALSE) / VLOOKUP("transport|PM25|Infant mortality", US_national_yearly!$D:$AM, 10, FALSE), 1)</f>
        <v>1.9139413123586363E-5</v>
      </c>
      <c r="Y3" s="7">
        <f>$B3 * IFERROR(VLOOKUP("transport|PM25|Infant mortality", US_national_yearly!$D:$AM, 33, FALSE) / VLOOKUP("transport|PM25|Infant mortality", US_national_yearly!$D:$AM, 10, FALSE), 1)</f>
        <v>1.9024082447951864E-5</v>
      </c>
      <c r="Z3" s="7">
        <f>$B3 * IFERROR(VLOOKUP("transport|PM25|Infant mortality", US_national_yearly!$D:$AM, 34, FALSE) / VLOOKUP("transport|PM25|Infant mortality", US_national_yearly!$D:$AM, 10, FALSE), 1)</f>
        <v>1.8908751772317374E-5</v>
      </c>
      <c r="AA3" s="7">
        <f>$B3 * IFERROR(VLOOKUP("transport|PM25|Infant mortality", US_national_yearly!$D:$AM, 35, FALSE) / VLOOKUP("transport|PM25|Infant mortality", US_national_yearly!$D:$AM, 10, FALSE), 1)</f>
        <v>1.8793421096682878E-5</v>
      </c>
      <c r="AB3" s="7">
        <f>$B3 * IFERROR(VLOOKUP("transport|PM25|Infant mortality", US_national_yearly!$D:$AM, 36, FALSE) / VLOOKUP("transport|PM25|Infant mortality", US_national_yearly!$D:$AM, 10, FALSE), 1)</f>
        <v>1.8678090421048388E-5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9.8545209791512114E-2</v>
      </c>
      <c r="C6" s="7">
        <f>$B6 * IFERROR(VLOOKUP("transport|PM25|Asthma symptoms cough", US_national_yearly!$D:$AM, 11, FALSE) / VLOOKUP("transport|PM25|Asthma symptoms cough", US_national_yearly!$D:$AM, 10, FALSE), 1)</f>
        <v>9.8545209791512114E-2</v>
      </c>
      <c r="D6" s="7">
        <f>$B6 * IFERROR(VLOOKUP("transport|PM25|Asthma symptoms cough", US_national_yearly!$D:$AM, 12, FALSE) / VLOOKUP("transport|PM25|Asthma symptoms cough", US_national_yearly!$D:$AM, 10, FALSE), 1)</f>
        <v>9.8545209791512114E-2</v>
      </c>
      <c r="E6" s="7">
        <f>$B6 * IFERROR(VLOOKUP("transport|PM25|Asthma symptoms cough", US_national_yearly!$D:$AM, 13, FALSE) / VLOOKUP("transport|PM25|Asthma symptoms cough", US_national_yearly!$D:$AM, 10, FALSE), 1)</f>
        <v>9.8545209791512114E-2</v>
      </c>
      <c r="F6" s="7">
        <f>$B6 * IFERROR(VLOOKUP("transport|PM25|Asthma symptoms cough", US_national_yearly!$D:$AM, 14, FALSE) / VLOOKUP("transport|PM25|Asthma symptoms cough", US_national_yearly!$D:$AM, 10, FALSE), 1)</f>
        <v>9.8545209791512114E-2</v>
      </c>
      <c r="G6" s="7">
        <f>$B6 * IFERROR(VLOOKUP("transport|PM25|Asthma symptoms cough", US_national_yearly!$D:$AM, 15, FALSE) / VLOOKUP("transport|PM25|Asthma symptoms cough", US_national_yearly!$D:$AM, 10, FALSE), 1)</f>
        <v>9.8545209791512114E-2</v>
      </c>
      <c r="H6" s="7">
        <f>$B6 * IFERROR(VLOOKUP("transport|PM25|Asthma symptoms cough", US_national_yearly!$D:$AM, 16, FALSE) / VLOOKUP("transport|PM25|Asthma symptoms cough", US_national_yearly!$D:$AM, 10, FALSE), 1)</f>
        <v>9.8545209791512114E-2</v>
      </c>
      <c r="I6" s="7">
        <f>$B6 * IFERROR(VLOOKUP("transport|PM25|Asthma symptoms cough", US_national_yearly!$D:$AM, 17, FALSE) / VLOOKUP("transport|PM25|Asthma symptoms cough", US_national_yearly!$D:$AM, 10, FALSE), 1)</f>
        <v>9.8545209791512114E-2</v>
      </c>
      <c r="J6" s="7">
        <f>$B6 * IFERROR(VLOOKUP("transport|PM25|Asthma symptoms cough", US_national_yearly!$D:$AM, 18, FALSE) / VLOOKUP("transport|PM25|Asthma symptoms cough", US_national_yearly!$D:$AM, 10, FALSE), 1)</f>
        <v>9.8545209791512114E-2</v>
      </c>
      <c r="K6" s="7">
        <f>$B6 * IFERROR(VLOOKUP("transport|PM25|Asthma symptoms cough", US_national_yearly!$D:$AM, 19, FALSE) / VLOOKUP("transport|PM25|Asthma symptoms cough", US_national_yearly!$D:$AM, 10, FALSE), 1)</f>
        <v>9.8545209791512114E-2</v>
      </c>
      <c r="L6" s="7">
        <f>$B6 * IFERROR(VLOOKUP("transport|PM25|Asthma symptoms cough", US_national_yearly!$D:$AM, 20, FALSE) / VLOOKUP("transport|PM25|Asthma symptoms cough", US_national_yearly!$D:$AM, 10, FALSE), 1)</f>
        <v>9.8545209791512114E-2</v>
      </c>
      <c r="M6" s="7">
        <f>$B6 * IFERROR(VLOOKUP("transport|PM25|Asthma symptoms cough", US_national_yearly!$D:$AM, 21, FALSE) / VLOOKUP("transport|PM25|Asthma symptoms cough", US_national_yearly!$D:$AM, 10, FALSE), 1)</f>
        <v>9.8545209791512114E-2</v>
      </c>
      <c r="N6" s="7">
        <f>$B6 * IFERROR(VLOOKUP("transport|PM25|Asthma symptoms cough", US_national_yearly!$D:$AM, 22, FALSE) / VLOOKUP("transport|PM25|Asthma symptoms cough", US_national_yearly!$D:$AM, 10, FALSE), 1)</f>
        <v>9.8545209791512114E-2</v>
      </c>
      <c r="O6" s="7">
        <f>$B6 * IFERROR(VLOOKUP("transport|PM25|Asthma symptoms cough", US_national_yearly!$D:$AM, 23, FALSE) / VLOOKUP("transport|PM25|Asthma symptoms cough", US_national_yearly!$D:$AM, 10, FALSE), 1)</f>
        <v>9.8545209791512114E-2</v>
      </c>
      <c r="P6" s="7">
        <f>$B6 * IFERROR(VLOOKUP("transport|PM25|Asthma symptoms cough", US_national_yearly!$D:$AM, 24, FALSE) / VLOOKUP("transport|PM25|Asthma symptoms cough", US_national_yearly!$D:$AM, 10, FALSE), 1)</f>
        <v>9.8545209791512114E-2</v>
      </c>
      <c r="Q6" s="7">
        <f>$B6 * IFERROR(VLOOKUP("transport|PM25|Asthma symptoms cough", US_national_yearly!$D:$AM, 25, FALSE) / VLOOKUP("transport|PM25|Asthma symptoms cough", US_national_yearly!$D:$AM, 10, FALSE), 1)</f>
        <v>9.8545209791512114E-2</v>
      </c>
      <c r="R6" s="7">
        <f>$B6 * IFERROR(VLOOKUP("transport|PM25|Asthma symptoms cough", US_national_yearly!$D:$AM, 26, FALSE) / VLOOKUP("transport|PM25|Asthma symptoms cough", US_national_yearly!$D:$AM, 10, FALSE), 1)</f>
        <v>9.8545209791512114E-2</v>
      </c>
      <c r="S6" s="7">
        <f>$B6 * IFERROR(VLOOKUP("transport|PM25|Asthma symptoms cough", US_national_yearly!$D:$AM, 27, FALSE) / VLOOKUP("transport|PM25|Asthma symptoms cough", US_national_yearly!$D:$AM, 10, FALSE), 1)</f>
        <v>9.8545209791512114E-2</v>
      </c>
      <c r="T6" s="7">
        <f>$B6 * IFERROR(VLOOKUP("transport|PM25|Asthma symptoms cough", US_national_yearly!$D:$AM, 28, FALSE) / VLOOKUP("transport|PM25|Asthma symptoms cough", US_national_yearly!$D:$AM, 10, FALSE), 1)</f>
        <v>9.8545209791512114E-2</v>
      </c>
      <c r="U6" s="7">
        <f>$B6 * IFERROR(VLOOKUP("transport|PM25|Asthma symptoms cough", US_national_yearly!$D:$AM, 29, FALSE) / VLOOKUP("transport|PM25|Asthma symptoms cough", US_national_yearly!$D:$AM, 10, FALSE), 1)</f>
        <v>9.8545209791512114E-2</v>
      </c>
      <c r="V6" s="7">
        <f>$B6 * IFERROR(VLOOKUP("transport|PM25|Asthma symptoms cough", US_national_yearly!$D:$AM, 30, FALSE) / VLOOKUP("transport|PM25|Asthma symptoms cough", US_national_yearly!$D:$AM, 10, FALSE), 1)</f>
        <v>9.8545209791512114E-2</v>
      </c>
      <c r="W6" s="7">
        <f>$B6 * IFERROR(VLOOKUP("transport|PM25|Asthma symptoms cough", US_national_yearly!$D:$AM, 31, FALSE) / VLOOKUP("transport|PM25|Asthma symptoms cough", US_national_yearly!$D:$AM, 10, FALSE), 1)</f>
        <v>9.8545209791512114E-2</v>
      </c>
      <c r="X6" s="7">
        <f>$B6 * IFERROR(VLOOKUP("transport|PM25|Asthma symptoms cough", US_national_yearly!$D:$AM, 32, FALSE) / VLOOKUP("transport|PM25|Asthma symptoms cough", US_national_yearly!$D:$AM, 10, FALSE), 1)</f>
        <v>9.8545209791512114E-2</v>
      </c>
      <c r="Y6" s="7">
        <f>$B6 * IFERROR(VLOOKUP("transport|PM25|Asthma symptoms cough", US_national_yearly!$D:$AM, 33, FALSE) / VLOOKUP("transport|PM25|Asthma symptoms cough", US_national_yearly!$D:$AM, 10, FALSE), 1)</f>
        <v>9.8545209791512114E-2</v>
      </c>
      <c r="Z6" s="7">
        <f>$B6 * IFERROR(VLOOKUP("transport|PM25|Asthma symptoms cough", US_national_yearly!$D:$AM, 34, FALSE) / VLOOKUP("transport|PM25|Asthma symptoms cough", US_national_yearly!$D:$AM, 10, FALSE), 1)</f>
        <v>9.8545209791512114E-2</v>
      </c>
      <c r="AA6" s="7">
        <f>$B6 * IFERROR(VLOOKUP("transport|PM25|Asthma symptoms cough", US_national_yearly!$D:$AM, 35, FALSE) / VLOOKUP("transport|PM25|Asthma symptoms cough", US_national_yearly!$D:$AM, 10, FALSE), 1)</f>
        <v>9.8545209791512114E-2</v>
      </c>
      <c r="AB6" s="7">
        <f>$B6 * IFERROR(VLOOKUP("transport|PM25|Asthma symptoms cough", US_national_yearly!$D:$AM, 36, FALSE) / VLOOKUP("transport|PM25|Asthma symptoms cough", US_national_yearly!$D:$AM, 10, FALSE), 1)</f>
        <v>9.8545209791512114E-2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0.13270237997271453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0.13270237997271453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0.13270237997271453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0.13270237997271453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0.13270237997271453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0.13270237997271453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0.13270237997271453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0.13270237997271453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0.13270237997271453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0.13270237997271453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0.13270237997271453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0.13270237997271453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0.13270237997271453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0.13270237997271453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0.13270237997271453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0.13270237997271453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0.13270237997271453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0.13270237997271453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0.13270237997271453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0.13270237997271453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0.13270237997271453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0.13270237997271453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0.13270237997271453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0.13270237997271453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0.13270237997271453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0.13270237997271453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0.13270237997271453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0.20275760229995418</v>
      </c>
      <c r="C8" s="7">
        <f>$B8 * IFERROR(VLOOKUP("transport|PM25|Asthma symptoms wheeze", US_national_yearly!$D:$AM, 11, FALSE) / VLOOKUP("transport|PM25|Asthma symptoms wheeze", US_national_yearly!$D:$AM, 10, FALSE), 1)</f>
        <v>0.20275760229995418</v>
      </c>
      <c r="D8" s="7">
        <f>$B8 * IFERROR(VLOOKUP("transport|PM25|Asthma symptoms wheeze", US_national_yearly!$D:$AM, 12, FALSE) / VLOOKUP("transport|PM25|Asthma symptoms wheeze", US_national_yearly!$D:$AM, 10, FALSE), 1)</f>
        <v>0.20275760229995418</v>
      </c>
      <c r="E8" s="7">
        <f>$B8 * IFERROR(VLOOKUP("transport|PM25|Asthma symptoms wheeze", US_national_yearly!$D:$AM, 13, FALSE) / VLOOKUP("transport|PM25|Asthma symptoms wheeze", US_national_yearly!$D:$AM, 10, FALSE), 1)</f>
        <v>0.20275760229995418</v>
      </c>
      <c r="F8" s="7">
        <f>$B8 * IFERROR(VLOOKUP("transport|PM25|Asthma symptoms wheeze", US_national_yearly!$D:$AM, 14, FALSE) / VLOOKUP("transport|PM25|Asthma symptoms wheeze", US_national_yearly!$D:$AM, 10, FALSE), 1)</f>
        <v>0.20275760229995418</v>
      </c>
      <c r="G8" s="7">
        <f>$B8 * IFERROR(VLOOKUP("transport|PM25|Asthma symptoms wheeze", US_national_yearly!$D:$AM, 15, FALSE) / VLOOKUP("transport|PM25|Asthma symptoms wheeze", US_national_yearly!$D:$AM, 10, FALSE), 1)</f>
        <v>0.20275760229995418</v>
      </c>
      <c r="H8" s="7">
        <f>$B8 * IFERROR(VLOOKUP("transport|PM25|Asthma symptoms wheeze", US_national_yearly!$D:$AM, 16, FALSE) / VLOOKUP("transport|PM25|Asthma symptoms wheeze", US_national_yearly!$D:$AM, 10, FALSE), 1)</f>
        <v>0.20275760229995418</v>
      </c>
      <c r="I8" s="7">
        <f>$B8 * IFERROR(VLOOKUP("transport|PM25|Asthma symptoms wheeze", US_national_yearly!$D:$AM, 17, FALSE) / VLOOKUP("transport|PM25|Asthma symptoms wheeze", US_national_yearly!$D:$AM, 10, FALSE), 1)</f>
        <v>0.20275760229995418</v>
      </c>
      <c r="J8" s="7">
        <f>$B8 * IFERROR(VLOOKUP("transport|PM25|Asthma symptoms wheeze", US_national_yearly!$D:$AM, 18, FALSE) / VLOOKUP("transport|PM25|Asthma symptoms wheeze", US_national_yearly!$D:$AM, 10, FALSE), 1)</f>
        <v>0.20275760229995418</v>
      </c>
      <c r="K8" s="7">
        <f>$B8 * IFERROR(VLOOKUP("transport|PM25|Asthma symptoms wheeze", US_national_yearly!$D:$AM, 19, FALSE) / VLOOKUP("transport|PM25|Asthma symptoms wheeze", US_national_yearly!$D:$AM, 10, FALSE), 1)</f>
        <v>0.20275760229995418</v>
      </c>
      <c r="L8" s="7">
        <f>$B8 * IFERROR(VLOOKUP("transport|PM25|Asthma symptoms wheeze", US_national_yearly!$D:$AM, 20, FALSE) / VLOOKUP("transport|PM25|Asthma symptoms wheeze", US_national_yearly!$D:$AM, 10, FALSE), 1)</f>
        <v>0.20275760229995418</v>
      </c>
      <c r="M8" s="7">
        <f>$B8 * IFERROR(VLOOKUP("transport|PM25|Asthma symptoms wheeze", US_national_yearly!$D:$AM, 21, FALSE) / VLOOKUP("transport|PM25|Asthma symptoms wheeze", US_national_yearly!$D:$AM, 10, FALSE), 1)</f>
        <v>0.20275760229995418</v>
      </c>
      <c r="N8" s="7">
        <f>$B8 * IFERROR(VLOOKUP("transport|PM25|Asthma symptoms wheeze", US_national_yearly!$D:$AM, 22, FALSE) / VLOOKUP("transport|PM25|Asthma symptoms wheeze", US_national_yearly!$D:$AM, 10, FALSE), 1)</f>
        <v>0.20275760229995418</v>
      </c>
      <c r="O8" s="7">
        <f>$B8 * IFERROR(VLOOKUP("transport|PM25|Asthma symptoms wheeze", US_national_yearly!$D:$AM, 23, FALSE) / VLOOKUP("transport|PM25|Asthma symptoms wheeze", US_national_yearly!$D:$AM, 10, FALSE), 1)</f>
        <v>0.20275760229995418</v>
      </c>
      <c r="P8" s="7">
        <f>$B8 * IFERROR(VLOOKUP("transport|PM25|Asthma symptoms wheeze", US_national_yearly!$D:$AM, 24, FALSE) / VLOOKUP("transport|PM25|Asthma symptoms wheeze", US_national_yearly!$D:$AM, 10, FALSE), 1)</f>
        <v>0.20275760229995418</v>
      </c>
      <c r="Q8" s="7">
        <f>$B8 * IFERROR(VLOOKUP("transport|PM25|Asthma symptoms wheeze", US_national_yearly!$D:$AM, 25, FALSE) / VLOOKUP("transport|PM25|Asthma symptoms wheeze", US_national_yearly!$D:$AM, 10, FALSE), 1)</f>
        <v>0.20275760229995418</v>
      </c>
      <c r="R8" s="7">
        <f>$B8 * IFERROR(VLOOKUP("transport|PM25|Asthma symptoms wheeze", US_national_yearly!$D:$AM, 26, FALSE) / VLOOKUP("transport|PM25|Asthma symptoms wheeze", US_national_yearly!$D:$AM, 10, FALSE), 1)</f>
        <v>0.20275760229995418</v>
      </c>
      <c r="S8" s="7">
        <f>$B8 * IFERROR(VLOOKUP("transport|PM25|Asthma symptoms wheeze", US_national_yearly!$D:$AM, 27, FALSE) / VLOOKUP("transport|PM25|Asthma symptoms wheeze", US_national_yearly!$D:$AM, 10, FALSE), 1)</f>
        <v>0.20275760229995418</v>
      </c>
      <c r="T8" s="7">
        <f>$B8 * IFERROR(VLOOKUP("transport|PM25|Asthma symptoms wheeze", US_national_yearly!$D:$AM, 28, FALSE) / VLOOKUP("transport|PM25|Asthma symptoms wheeze", US_national_yearly!$D:$AM, 10, FALSE), 1)</f>
        <v>0.20275760229995418</v>
      </c>
      <c r="U8" s="7">
        <f>$B8 * IFERROR(VLOOKUP("transport|PM25|Asthma symptoms wheeze", US_national_yearly!$D:$AM, 29, FALSE) / VLOOKUP("transport|PM25|Asthma symptoms wheeze", US_national_yearly!$D:$AM, 10, FALSE), 1)</f>
        <v>0.20275760229995418</v>
      </c>
      <c r="V8" s="7">
        <f>$B8 * IFERROR(VLOOKUP("transport|PM25|Asthma symptoms wheeze", US_national_yearly!$D:$AM, 30, FALSE) / VLOOKUP("transport|PM25|Asthma symptoms wheeze", US_national_yearly!$D:$AM, 10, FALSE), 1)</f>
        <v>0.20275760229995418</v>
      </c>
      <c r="W8" s="7">
        <f>$B8 * IFERROR(VLOOKUP("transport|PM25|Asthma symptoms wheeze", US_national_yearly!$D:$AM, 31, FALSE) / VLOOKUP("transport|PM25|Asthma symptoms wheeze", US_national_yearly!$D:$AM, 10, FALSE), 1)</f>
        <v>0.20275760229995418</v>
      </c>
      <c r="X8" s="7">
        <f>$B8 * IFERROR(VLOOKUP("transport|PM25|Asthma symptoms wheeze", US_national_yearly!$D:$AM, 32, FALSE) / VLOOKUP("transport|PM25|Asthma symptoms wheeze", US_national_yearly!$D:$AM, 10, FALSE), 1)</f>
        <v>0.20275760229995418</v>
      </c>
      <c r="Y8" s="7">
        <f>$B8 * IFERROR(VLOOKUP("transport|PM25|Asthma symptoms wheeze", US_national_yearly!$D:$AM, 33, FALSE) / VLOOKUP("transport|PM25|Asthma symptoms wheeze", US_national_yearly!$D:$AM, 10, FALSE), 1)</f>
        <v>0.20275760229995418</v>
      </c>
      <c r="Z8" s="7">
        <f>$B8 * IFERROR(VLOOKUP("transport|PM25|Asthma symptoms wheeze", US_national_yearly!$D:$AM, 34, FALSE) / VLOOKUP("transport|PM25|Asthma symptoms wheeze", US_national_yearly!$D:$AM, 10, FALSE), 1)</f>
        <v>0.20275760229995418</v>
      </c>
      <c r="AA8" s="7">
        <f>$B8 * IFERROR(VLOOKUP("transport|PM25|Asthma symptoms wheeze", US_national_yearly!$D:$AM, 35, FALSE) / VLOOKUP("transport|PM25|Asthma symptoms wheeze", US_national_yearly!$D:$AM, 10, FALSE), 1)</f>
        <v>0.20275760229995418</v>
      </c>
      <c r="AB8" s="7">
        <f>$B8 * IFERROR(VLOOKUP("transport|PM25|Asthma symptoms wheeze", US_national_yearly!$D:$AM, 36, FALSE) / VLOOKUP("transport|PM25|Asthma symptoms wheeze", US_national_yearly!$D:$AM, 10, FALSE), 1)</f>
        <v>0.20275760229995418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3.2162910569262047E-3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3.2347255409160341E-3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3.2531600249058631E-3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3.2715945088956926E-3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3.2900289928855216E-3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3.3099390219225337E-3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3.3298490509595458E-3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3.3488723272524839E-3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3.3678956035454238E-3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3.3869188798383628E-3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3.4059421561313022E-3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3.4249654324242408E-3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3.4386189929536794E-3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3.4522725534831171E-3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3.4659261140125544E-3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3.4795796745419921E-3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3.4932332350714307E-3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3.506233223796046E-3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3.5192332125206622E-3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3.5322332012452775E-3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3.5452331899698927E-3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3.558233178694508E-3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3.5707393336776565E-3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3.5832454886608033E-3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3.5957516436439514E-3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3.6082577986270986E-3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3.6207639536102463E-3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1.8633401014421059E-2</v>
      </c>
      <c r="C13" s="7">
        <f>$B13 * IFERROR(VLOOKUP("transport|PM25|Non-fatal heart attacks", US_national_yearly!$D:$AM, 11, FALSE) / VLOOKUP("transport|PM25|Non-fatal heart attacks", US_national_yearly!$D:$AM, 10, FALSE), 1)</f>
        <v>1.9175123429297322E-2</v>
      </c>
      <c r="D13" s="7">
        <f>$B13 * IFERROR(VLOOKUP("transport|PM25|Non-fatal heart attacks", US_national_yearly!$D:$AM, 12, FALSE) / VLOOKUP("transport|PM25|Non-fatal heart attacks", US_national_yearly!$D:$AM, 10, FALSE), 1)</f>
        <v>1.9716845844173585E-2</v>
      </c>
      <c r="E13" s="7">
        <f>$B13 * IFERROR(VLOOKUP("transport|PM25|Non-fatal heart attacks", US_national_yearly!$D:$AM, 13, FALSE) / VLOOKUP("transport|PM25|Non-fatal heart attacks", US_national_yearly!$D:$AM, 10, FALSE), 1)</f>
        <v>2.0258568259049842E-2</v>
      </c>
      <c r="F13" s="7">
        <f>$B13 * IFERROR(VLOOKUP("transport|PM25|Non-fatal heart attacks", US_national_yearly!$D:$AM, 14, FALSE) / VLOOKUP("transport|PM25|Non-fatal heart attacks", US_national_yearly!$D:$AM, 10, FALSE), 1)</f>
        <v>2.0800290673926108E-2</v>
      </c>
      <c r="G13" s="7">
        <f>$B13 * IFERROR(VLOOKUP("transport|PM25|Non-fatal heart attacks", US_national_yearly!$D:$AM, 15, FALSE) / VLOOKUP("transport|PM25|Non-fatal heart attacks", US_national_yearly!$D:$AM, 10, FALSE), 1)</f>
        <v>2.1311169158181542E-2</v>
      </c>
      <c r="H13" s="7">
        <f>$B13 * IFERROR(VLOOKUP("transport|PM25|Non-fatal heart attacks", US_national_yearly!$D:$AM, 16, FALSE) / VLOOKUP("transport|PM25|Non-fatal heart attacks", US_national_yearly!$D:$AM, 10, FALSE), 1)</f>
        <v>2.1822047642436969E-2</v>
      </c>
      <c r="I13" s="7">
        <f>$B13 * IFERROR(VLOOKUP("transport|PM25|Non-fatal heart attacks", US_national_yearly!$D:$AM, 17, FALSE) / VLOOKUP("transport|PM25|Non-fatal heart attacks", US_national_yearly!$D:$AM, 10, FALSE), 1)</f>
        <v>2.2232623946405451E-2</v>
      </c>
      <c r="J13" s="7">
        <f>$B13 * IFERROR(VLOOKUP("transport|PM25|Non-fatal heart attacks", US_national_yearly!$D:$AM, 18, FALSE) / VLOOKUP("transport|PM25|Non-fatal heart attacks", US_national_yearly!$D:$AM, 10, FALSE), 1)</f>
        <v>2.2643200250373932E-2</v>
      </c>
      <c r="K13" s="7">
        <f>$B13 * IFERROR(VLOOKUP("transport|PM25|Non-fatal heart attacks", US_national_yearly!$D:$AM, 19, FALSE) / VLOOKUP("transport|PM25|Non-fatal heart attacks", US_national_yearly!$D:$AM, 10, FALSE), 1)</f>
        <v>2.3053776554342417E-2</v>
      </c>
      <c r="L13" s="7">
        <f>$B13 * IFERROR(VLOOKUP("transport|PM25|Non-fatal heart attacks", US_national_yearly!$D:$AM, 20, FALSE) / VLOOKUP("transport|PM25|Non-fatal heart attacks", US_national_yearly!$D:$AM, 10, FALSE), 1)</f>
        <v>2.3464352858310895E-2</v>
      </c>
      <c r="M13" s="7">
        <f>$B13 * IFERROR(VLOOKUP("transport|PM25|Non-fatal heart attacks", US_national_yearly!$D:$AM, 21, FALSE) / VLOOKUP("transport|PM25|Non-fatal heart attacks", US_national_yearly!$D:$AM, 10, FALSE), 1)</f>
        <v>2.3874929162279381E-2</v>
      </c>
      <c r="N13" s="7">
        <f>$B13 * IFERROR(VLOOKUP("transport|PM25|Non-fatal heart attacks", US_national_yearly!$D:$AM, 22, FALSE) / VLOOKUP("transport|PM25|Non-fatal heart attacks", US_national_yearly!$D:$AM, 10, FALSE), 1)</f>
        <v>2.4139710335784974E-2</v>
      </c>
      <c r="O13" s="7">
        <f>$B13 * IFERROR(VLOOKUP("transport|PM25|Non-fatal heart attacks", US_national_yearly!$D:$AM, 23, FALSE) / VLOOKUP("transport|PM25|Non-fatal heart attacks", US_national_yearly!$D:$AM, 10, FALSE), 1)</f>
        <v>2.4404491509290568E-2</v>
      </c>
      <c r="P13" s="7">
        <f>$B13 * IFERROR(VLOOKUP("transport|PM25|Non-fatal heart attacks", US_national_yearly!$D:$AM, 24, FALSE) / VLOOKUP("transport|PM25|Non-fatal heart attacks", US_national_yearly!$D:$AM, 10, FALSE), 1)</f>
        <v>2.4669272682796166E-2</v>
      </c>
      <c r="Q13" s="7">
        <f>$B13 * IFERROR(VLOOKUP("transport|PM25|Non-fatal heart attacks", US_national_yearly!$D:$AM, 25, FALSE) / VLOOKUP("transport|PM25|Non-fatal heart attacks", US_national_yearly!$D:$AM, 10, FALSE), 1)</f>
        <v>2.4934053856301756E-2</v>
      </c>
      <c r="R13" s="7">
        <f>$B13 * IFERROR(VLOOKUP("transport|PM25|Non-fatal heart attacks", US_national_yearly!$D:$AM, 26, FALSE) / VLOOKUP("transport|PM25|Non-fatal heart attacks", US_national_yearly!$D:$AM, 10, FALSE), 1)</f>
        <v>2.519883502980735E-2</v>
      </c>
      <c r="S13" s="7">
        <f>$B13 * IFERROR(VLOOKUP("transport|PM25|Non-fatal heart attacks", US_national_yearly!$D:$AM, 27, FALSE) / VLOOKUP("transport|PM25|Non-fatal heart attacks", US_national_yearly!$D:$AM, 10, FALSE), 1)</f>
        <v>2.5338276360515791E-2</v>
      </c>
      <c r="T13" s="7">
        <f>$B13 * IFERROR(VLOOKUP("transport|PM25|Non-fatal heart attacks", US_national_yearly!$D:$AM, 28, FALSE) / VLOOKUP("transport|PM25|Non-fatal heart attacks", US_national_yearly!$D:$AM, 10, FALSE), 1)</f>
        <v>2.5477717691224238E-2</v>
      </c>
      <c r="U13" s="7">
        <f>$B13 * IFERROR(VLOOKUP("transport|PM25|Non-fatal heart attacks", US_national_yearly!$D:$AM, 29, FALSE) / VLOOKUP("transport|PM25|Non-fatal heart attacks", US_national_yearly!$D:$AM, 10, FALSE), 1)</f>
        <v>2.5617159021932685E-2</v>
      </c>
      <c r="V13" s="7">
        <f>$B13 * IFERROR(VLOOKUP("transport|PM25|Non-fatal heart attacks", US_national_yearly!$D:$AM, 30, FALSE) / VLOOKUP("transport|PM25|Non-fatal heart attacks", US_national_yearly!$D:$AM, 10, FALSE), 1)</f>
        <v>2.5756600352641129E-2</v>
      </c>
      <c r="W13" s="7">
        <f>$B13 * IFERROR(VLOOKUP("transport|PM25|Non-fatal heart attacks", US_national_yearly!$D:$AM, 31, FALSE) / VLOOKUP("transport|PM25|Non-fatal heart attacks", US_national_yearly!$D:$AM, 10, FALSE), 1)</f>
        <v>2.5896041683349573E-2</v>
      </c>
      <c r="X13" s="7">
        <f>$B13 * IFERROR(VLOOKUP("transport|PM25|Non-fatal heart attacks", US_national_yearly!$D:$AM, 32, FALSE) / VLOOKUP("transport|PM25|Non-fatal heart attacks", US_national_yearly!$D:$AM, 10, FALSE), 1)</f>
        <v>2.6001897816159317E-2</v>
      </c>
      <c r="Y13" s="7">
        <f>$B13 * IFERROR(VLOOKUP("transport|PM25|Non-fatal heart attacks", US_national_yearly!$D:$AM, 33, FALSE) / VLOOKUP("transport|PM25|Non-fatal heart attacks", US_national_yearly!$D:$AM, 10, FALSE), 1)</f>
        <v>2.6107753948969064E-2</v>
      </c>
      <c r="Z13" s="7">
        <f>$B13 * IFERROR(VLOOKUP("transport|PM25|Non-fatal heart attacks", US_national_yearly!$D:$AM, 34, FALSE) / VLOOKUP("transport|PM25|Non-fatal heart attacks", US_national_yearly!$D:$AM, 10, FALSE), 1)</f>
        <v>2.6213610081778808E-2</v>
      </c>
      <c r="AA13" s="7">
        <f>$B13 * IFERROR(VLOOKUP("transport|PM25|Non-fatal heart attacks", US_national_yearly!$D:$AM, 35, FALSE) / VLOOKUP("transport|PM25|Non-fatal heart attacks", US_national_yearly!$D:$AM, 10, FALSE), 1)</f>
        <v>2.6319466214588555E-2</v>
      </c>
      <c r="AB13" s="7">
        <f>$B13 * IFERROR(VLOOKUP("transport|PM25|Non-fatal heart attacks", US_national_yearly!$D:$AM, 36, FALSE) / VLOOKUP("transport|PM25|Non-fatal heart attacks", US_national_yearly!$D:$AM, 10, FALSE), 1)</f>
        <v>2.6425322347398299E-2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14.538185955580031</v>
      </c>
      <c r="C14" s="7">
        <f>$B14 * IFERROR(VLOOKUP("transport|PM25|Minor restricted activity days", US_national_yearly!$D:$AM, 11, FALSE) / VLOOKUP("transport|PM25|Minor restricted activity days", US_national_yearly!$D:$AM, 10, FALSE), 1)</f>
        <v>14.57368992977988</v>
      </c>
      <c r="D14" s="7">
        <f>$B14 * IFERROR(VLOOKUP("transport|PM25|Minor restricted activity days", US_national_yearly!$D:$AM, 12, FALSE) / VLOOKUP("transport|PM25|Minor restricted activity days", US_national_yearly!$D:$AM, 10, FALSE), 1)</f>
        <v>14.609193903979728</v>
      </c>
      <c r="E14" s="7">
        <f>$B14 * IFERROR(VLOOKUP("transport|PM25|Minor restricted activity days", US_national_yearly!$D:$AM, 13, FALSE) / VLOOKUP("transport|PM25|Minor restricted activity days", US_national_yearly!$D:$AM, 10, FALSE), 1)</f>
        <v>14.64469787817958</v>
      </c>
      <c r="F14" s="7">
        <f>$B14 * IFERROR(VLOOKUP("transport|PM25|Minor restricted activity days", US_national_yearly!$D:$AM, 14, FALSE) / VLOOKUP("transport|PM25|Minor restricted activity days", US_national_yearly!$D:$AM, 10, FALSE), 1)</f>
        <v>14.680201852379424</v>
      </c>
      <c r="G14" s="7">
        <f>$B14 * IFERROR(VLOOKUP("transport|PM25|Minor restricted activity days", US_national_yearly!$D:$AM, 15, FALSE) / VLOOKUP("transport|PM25|Minor restricted activity days", US_national_yearly!$D:$AM, 10, FALSE), 1)</f>
        <v>14.73258690376943</v>
      </c>
      <c r="H14" s="7">
        <f>$B14 * IFERROR(VLOOKUP("transport|PM25|Minor restricted activity days", US_national_yearly!$D:$AM, 16, FALSE) / VLOOKUP("transport|PM25|Minor restricted activity days", US_national_yearly!$D:$AM, 10, FALSE), 1)</f>
        <v>14.784971955159437</v>
      </c>
      <c r="I14" s="7">
        <f>$B14 * IFERROR(VLOOKUP("transport|PM25|Minor restricted activity days", US_national_yearly!$D:$AM, 17, FALSE) / VLOOKUP("transport|PM25|Minor restricted activity days", US_national_yearly!$D:$AM, 10, FALSE), 1)</f>
        <v>14.874526404393283</v>
      </c>
      <c r="J14" s="7">
        <f>$B14 * IFERROR(VLOOKUP("transport|PM25|Minor restricted activity days", US_national_yearly!$D:$AM, 18, FALSE) / VLOOKUP("transport|PM25|Minor restricted activity days", US_national_yearly!$D:$AM, 10, FALSE), 1)</f>
        <v>14.964080853627124</v>
      </c>
      <c r="K14" s="7">
        <f>$B14 * IFERROR(VLOOKUP("transport|PM25|Minor restricted activity days", US_national_yearly!$D:$AM, 19, FALSE) / VLOOKUP("transport|PM25|Minor restricted activity days", US_national_yearly!$D:$AM, 10, FALSE), 1)</f>
        <v>15.05363530286097</v>
      </c>
      <c r="L14" s="7">
        <f>$B14 * IFERROR(VLOOKUP("transport|PM25|Minor restricted activity days", US_national_yearly!$D:$AM, 20, FALSE) / VLOOKUP("transport|PM25|Minor restricted activity days", US_national_yearly!$D:$AM, 10, FALSE), 1)</f>
        <v>15.143189752094813</v>
      </c>
      <c r="M14" s="7">
        <f>$B14 * IFERROR(VLOOKUP("transport|PM25|Minor restricted activity days", US_national_yearly!$D:$AM, 21, FALSE) / VLOOKUP("transport|PM25|Minor restricted activity days", US_national_yearly!$D:$AM, 10, FALSE), 1)</f>
        <v>15.232744201328657</v>
      </c>
      <c r="N14" s="7">
        <f>$B14 * IFERROR(VLOOKUP("transport|PM25|Minor restricted activity days", US_national_yearly!$D:$AM, 22, FALSE) / VLOOKUP("transport|PM25|Minor restricted activity days", US_national_yearly!$D:$AM, 10, FALSE), 1)</f>
        <v>15.354735191444286</v>
      </c>
      <c r="O14" s="7">
        <f>$B14 * IFERROR(VLOOKUP("transport|PM25|Minor restricted activity days", US_national_yearly!$D:$AM, 23, FALSE) / VLOOKUP("transport|PM25|Minor restricted activity days", US_national_yearly!$D:$AM, 10, FALSE), 1)</f>
        <v>15.476726181559911</v>
      </c>
      <c r="P14" s="7">
        <f>$B14 * IFERROR(VLOOKUP("transport|PM25|Minor restricted activity days", US_national_yearly!$D:$AM, 24, FALSE) / VLOOKUP("transport|PM25|Minor restricted activity days", US_national_yearly!$D:$AM, 10, FALSE), 1)</f>
        <v>15.59871717167554</v>
      </c>
      <c r="Q14" s="7">
        <f>$B14 * IFERROR(VLOOKUP("transport|PM25|Minor restricted activity days", US_national_yearly!$D:$AM, 25, FALSE) / VLOOKUP("transport|PM25|Minor restricted activity days", US_national_yearly!$D:$AM, 10, FALSE), 1)</f>
        <v>15.720708161791165</v>
      </c>
      <c r="R14" s="7">
        <f>$B14 * IFERROR(VLOOKUP("transport|PM25|Minor restricted activity days", US_national_yearly!$D:$AM, 26, FALSE) / VLOOKUP("transport|PM25|Minor restricted activity days", US_national_yearly!$D:$AM, 10, FALSE), 1)</f>
        <v>15.842699151906791</v>
      </c>
      <c r="S14" s="7">
        <f>$B14 * IFERROR(VLOOKUP("transport|PM25|Minor restricted activity days", US_national_yearly!$D:$AM, 27, FALSE) / VLOOKUP("transport|PM25|Minor restricted activity days", US_national_yearly!$D:$AM, 10, FALSE), 1)</f>
        <v>15.965530253997409</v>
      </c>
      <c r="T14" s="7">
        <f>$B14 * IFERROR(VLOOKUP("transport|PM25|Minor restricted activity days", US_national_yearly!$D:$AM, 28, FALSE) / VLOOKUP("transport|PM25|Minor restricted activity days", US_national_yearly!$D:$AM, 10, FALSE), 1)</f>
        <v>16.088361356088029</v>
      </c>
      <c r="U14" s="7">
        <f>$B14 * IFERROR(VLOOKUP("transport|PM25|Minor restricted activity days", US_national_yearly!$D:$AM, 29, FALSE) / VLOOKUP("transport|PM25|Minor restricted activity days", US_national_yearly!$D:$AM, 10, FALSE), 1)</f>
        <v>16.211192458178648</v>
      </c>
      <c r="V14" s="7">
        <f>$B14 * IFERROR(VLOOKUP("transport|PM25|Minor restricted activity days", US_national_yearly!$D:$AM, 30, FALSE) / VLOOKUP("transport|PM25|Minor restricted activity days", US_national_yearly!$D:$AM, 10, FALSE), 1)</f>
        <v>16.334023560269266</v>
      </c>
      <c r="W14" s="7">
        <f>$B14 * IFERROR(VLOOKUP("transport|PM25|Minor restricted activity days", US_national_yearly!$D:$AM, 31, FALSE) / VLOOKUP("transport|PM25|Minor restricted activity days", US_national_yearly!$D:$AM, 10, FALSE), 1)</f>
        <v>16.456854662359888</v>
      </c>
      <c r="X14" s="7">
        <f>$B14 * IFERROR(VLOOKUP("transport|PM25|Minor restricted activity days", US_national_yearly!$D:$AM, 32, FALSE) / VLOOKUP("transport|PM25|Minor restricted activity days", US_national_yearly!$D:$AM, 10, FALSE), 1)</f>
        <v>16.563484416018522</v>
      </c>
      <c r="Y14" s="7">
        <f>$B14 * IFERROR(VLOOKUP("transport|PM25|Minor restricted activity days", US_national_yearly!$D:$AM, 33, FALSE) / VLOOKUP("transport|PM25|Minor restricted activity days", US_national_yearly!$D:$AM, 10, FALSE), 1)</f>
        <v>16.670114169677156</v>
      </c>
      <c r="Z14" s="7">
        <f>$B14 * IFERROR(VLOOKUP("transport|PM25|Minor restricted activity days", US_national_yearly!$D:$AM, 34, FALSE) / VLOOKUP("transport|PM25|Minor restricted activity days", US_national_yearly!$D:$AM, 10, FALSE), 1)</f>
        <v>16.77674392333579</v>
      </c>
      <c r="AA14" s="7">
        <f>$B14 * IFERROR(VLOOKUP("transport|PM25|Minor restricted activity days", US_national_yearly!$D:$AM, 35, FALSE) / VLOOKUP("transport|PM25|Minor restricted activity days", US_national_yearly!$D:$AM, 10, FALSE), 1)</f>
        <v>16.883373676994424</v>
      </c>
      <c r="AB14" s="7">
        <f>$B14 * IFERROR(VLOOKUP("transport|PM25|Minor restricted activity days", US_national_yearly!$D:$AM, 36, FALSE) / VLOOKUP("transport|PM25|Minor restricted activity days", US_national_yearly!$D:$AM, 10, FALSE), 1)</f>
        <v>16.990003430653058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2.4764269257798044</v>
      </c>
      <c r="C15" s="7">
        <f>$B15 * IFERROR(VLOOKUP("transport|PM25|Work loss days", US_national_yearly!$D:$AM, 11, FALSE) / VLOOKUP("transport|PM25|Work loss days", US_national_yearly!$D:$AM, 10, FALSE), 1)</f>
        <v>2.4841029573130662</v>
      </c>
      <c r="D15" s="7">
        <f>$B15 * IFERROR(VLOOKUP("transport|PM25|Work loss days", US_national_yearly!$D:$AM, 12, FALSE) / VLOOKUP("transport|PM25|Work loss days", US_national_yearly!$D:$AM, 10, FALSE), 1)</f>
        <v>2.4917789888463289</v>
      </c>
      <c r="E15" s="7">
        <f>$B15 * IFERROR(VLOOKUP("transport|PM25|Work loss days", US_national_yearly!$D:$AM, 13, FALSE) / VLOOKUP("transport|PM25|Work loss days", US_national_yearly!$D:$AM, 10, FALSE), 1)</f>
        <v>2.4994550203795911</v>
      </c>
      <c r="F15" s="7">
        <f>$B15 * IFERROR(VLOOKUP("transport|PM25|Work loss days", US_national_yearly!$D:$AM, 14, FALSE) / VLOOKUP("transport|PM25|Work loss days", US_national_yearly!$D:$AM, 10, FALSE), 1)</f>
        <v>2.5071310519128529</v>
      </c>
      <c r="G15" s="7">
        <f>$B15 * IFERROR(VLOOKUP("transport|PM25|Work loss days", US_national_yearly!$D:$AM, 15, FALSE) / VLOOKUP("transport|PM25|Work loss days", US_national_yearly!$D:$AM, 10, FALSE), 1)</f>
        <v>2.5171948190678939</v>
      </c>
      <c r="H15" s="7">
        <f>$B15 * IFERROR(VLOOKUP("transport|PM25|Work loss days", US_national_yearly!$D:$AM, 16, FALSE) / VLOOKUP("transport|PM25|Work loss days", US_national_yearly!$D:$AM, 10, FALSE), 1)</f>
        <v>2.5272585862229353</v>
      </c>
      <c r="I15" s="7">
        <f>$B15 * IFERROR(VLOOKUP("transport|PM25|Work loss days", US_national_yearly!$D:$AM, 17, FALSE) / VLOOKUP("transport|PM25|Work loss days", US_national_yearly!$D:$AM, 10, FALSE), 1)</f>
        <v>2.5420785902212364</v>
      </c>
      <c r="J15" s="7">
        <f>$B15 * IFERROR(VLOOKUP("transport|PM25|Work loss days", US_national_yearly!$D:$AM, 18, FALSE) / VLOOKUP("transport|PM25|Work loss days", US_national_yearly!$D:$AM, 10, FALSE), 1)</f>
        <v>2.5568985942195375</v>
      </c>
      <c r="K15" s="7">
        <f>$B15 * IFERROR(VLOOKUP("transport|PM25|Work loss days", US_national_yearly!$D:$AM, 19, FALSE) / VLOOKUP("transport|PM25|Work loss days", US_national_yearly!$D:$AM, 10, FALSE), 1)</f>
        <v>2.571718598217839</v>
      </c>
      <c r="L15" s="7">
        <f>$B15 * IFERROR(VLOOKUP("transport|PM25|Work loss days", US_national_yearly!$D:$AM, 20, FALSE) / VLOOKUP("transport|PM25|Work loss days", US_national_yearly!$D:$AM, 10, FALSE), 1)</f>
        <v>2.5865386022161401</v>
      </c>
      <c r="M15" s="7">
        <f>$B15 * IFERROR(VLOOKUP("transport|PM25|Work loss days", US_national_yearly!$D:$AM, 21, FALSE) / VLOOKUP("transport|PM25|Work loss days", US_national_yearly!$D:$AM, 10, FALSE), 1)</f>
        <v>2.6013586062144416</v>
      </c>
      <c r="N15" s="7">
        <f>$B15 * IFERROR(VLOOKUP("transport|PM25|Work loss days", US_national_yearly!$D:$AM, 22, FALSE) / VLOOKUP("transport|PM25|Work loss days", US_national_yearly!$D:$AM, 10, FALSE), 1)</f>
        <v>2.6200107029546382</v>
      </c>
      <c r="O15" s="7">
        <f>$B15 * IFERROR(VLOOKUP("transport|PM25|Work loss days", US_national_yearly!$D:$AM, 23, FALSE) / VLOOKUP("transport|PM25|Work loss days", US_national_yearly!$D:$AM, 10, FALSE), 1)</f>
        <v>2.6386627996948344</v>
      </c>
      <c r="P15" s="7">
        <f>$B15 * IFERROR(VLOOKUP("transport|PM25|Work loss days", US_national_yearly!$D:$AM, 24, FALSE) / VLOOKUP("transport|PM25|Work loss days", US_national_yearly!$D:$AM, 10, FALSE), 1)</f>
        <v>2.6573148964350315</v>
      </c>
      <c r="Q15" s="7">
        <f>$B15 * IFERROR(VLOOKUP("transport|PM25|Work loss days", US_national_yearly!$D:$AM, 25, FALSE) / VLOOKUP("transport|PM25|Work loss days", US_national_yearly!$D:$AM, 10, FALSE), 1)</f>
        <v>2.6759669931752277</v>
      </c>
      <c r="R15" s="7">
        <f>$B15 * IFERROR(VLOOKUP("transport|PM25|Work loss days", US_national_yearly!$D:$AM, 26, FALSE) / VLOOKUP("transport|PM25|Work loss days", US_national_yearly!$D:$AM, 10, FALSE), 1)</f>
        <v>2.6946190899154243</v>
      </c>
      <c r="S15" s="7">
        <f>$B15 * IFERROR(VLOOKUP("transport|PM25|Work loss days", US_national_yearly!$D:$AM, 27, FALSE) / VLOOKUP("transport|PM25|Work loss days", US_national_yearly!$D:$AM, 10, FALSE), 1)</f>
        <v>2.7152491052324992</v>
      </c>
      <c r="T15" s="7">
        <f>$B15 * IFERROR(VLOOKUP("transport|PM25|Work loss days", US_national_yearly!$D:$AM, 28, FALSE) / VLOOKUP("transport|PM25|Work loss days", US_national_yearly!$D:$AM, 10, FALSE), 1)</f>
        <v>2.7358791205495741</v>
      </c>
      <c r="U15" s="7">
        <f>$B15 * IFERROR(VLOOKUP("transport|PM25|Work loss days", US_national_yearly!$D:$AM, 29, FALSE) / VLOOKUP("transport|PM25|Work loss days", US_national_yearly!$D:$AM, 10, FALSE), 1)</f>
        <v>2.7565091358666485</v>
      </c>
      <c r="V15" s="7">
        <f>$B15 * IFERROR(VLOOKUP("transport|PM25|Work loss days", US_national_yearly!$D:$AM, 30, FALSE) / VLOOKUP("transport|PM25|Work loss days", US_national_yearly!$D:$AM, 10, FALSE), 1)</f>
        <v>2.7771391511837238</v>
      </c>
      <c r="W15" s="7">
        <f>$B15 * IFERROR(VLOOKUP("transport|PM25|Work loss days", US_national_yearly!$D:$AM, 31, FALSE) / VLOOKUP("transport|PM25|Work loss days", US_national_yearly!$D:$AM, 10, FALSE), 1)</f>
        <v>2.7977691665007982</v>
      </c>
      <c r="X15" s="7">
        <f>$B15 * IFERROR(VLOOKUP("transport|PM25|Work loss days", US_national_yearly!$D:$AM, 32, FALSE) / VLOOKUP("transport|PM25|Work loss days", US_national_yearly!$D:$AM, 10, FALSE), 1)</f>
        <v>2.8160735540769046</v>
      </c>
      <c r="Y15" s="7">
        <f>$B15 * IFERROR(VLOOKUP("transport|PM25|Work loss days", US_national_yearly!$D:$AM, 33, FALSE) / VLOOKUP("transport|PM25|Work loss days", US_national_yearly!$D:$AM, 10, FALSE), 1)</f>
        <v>2.8343779416530106</v>
      </c>
      <c r="Z15" s="7">
        <f>$B15 * IFERROR(VLOOKUP("transport|PM25|Work loss days", US_national_yearly!$D:$AM, 34, FALSE) / VLOOKUP("transport|PM25|Work loss days", US_national_yearly!$D:$AM, 10, FALSE), 1)</f>
        <v>2.8526823292291175</v>
      </c>
      <c r="AA15" s="7">
        <f>$B15 * IFERROR(VLOOKUP("transport|PM25|Work loss days", US_national_yearly!$D:$AM, 35, FALSE) / VLOOKUP("transport|PM25|Work loss days", US_national_yearly!$D:$AM, 10, FALSE), 1)</f>
        <v>2.8709867168052239</v>
      </c>
      <c r="AB15" s="7">
        <f>$B15 * IFERROR(VLOOKUP("transport|PM25|Work loss days", US_national_yearly!$D:$AM, 36, FALSE) / VLOOKUP("transport|PM25|Work loss days", US_national_yearly!$D:$AM, 10, FALSE), 1)</f>
        <v>2.8892911043813303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4.2795355641277004E-3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4.4074110709761216E-3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4.5352865778245438E-3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4.6631620846729659E-3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4.791037591521388E-3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4.9135194850959173E-3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5.0360013786704483E-3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5.1407546185809096E-3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5.24550785849137E-3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5.3502610984018303E-3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5.4550143383122925E-3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5.5597675782227528E-3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5.6296089549271733E-3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5.6994503316315955E-3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5.7692917083360159E-3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5.8391330850404381E-3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5.9089744617448585E-3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5.9459270704870695E-3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5.9828796792292796E-3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6.0198322879714879E-3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6.056784896713698E-3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6.0937375054559081E-3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6.1186144877346752E-3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6.1434914700134414E-3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6.1683684522922085E-3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6.1932454345709756E-3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6.2181224168497426E-3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1.3201019043368829E-3</v>
      </c>
      <c r="C2" s="7">
        <f>$B2 * IFERROR(VLOOKUP("transport|NOx|Premature mortality", US_national_yearly!$D:$AM, 11, FALSE) / VLOOKUP("transport|NOx|Premature mortality", US_national_yearly!$D:$AM, 10, FALSE), 1)</f>
        <v>1.3394919700050274E-3</v>
      </c>
      <c r="D2" s="7">
        <f>$B2 * IFERROR(VLOOKUP("transport|NOx|Premature mortality", US_national_yearly!$D:$AM, 12, FALSE) / VLOOKUP("transport|NOx|Premature mortality", US_national_yearly!$D:$AM, 10, FALSE), 1)</f>
        <v>1.3588820356731717E-3</v>
      </c>
      <c r="E2" s="7">
        <f>$B2 * IFERROR(VLOOKUP("transport|NOx|Premature mortality", US_national_yearly!$D:$AM, 13, FALSE) / VLOOKUP("transport|NOx|Premature mortality", US_national_yearly!$D:$AM, 10, FALSE), 1)</f>
        <v>1.3782721013413162E-3</v>
      </c>
      <c r="F2" s="7">
        <f>$B2 * IFERROR(VLOOKUP("transport|NOx|Premature mortality", US_national_yearly!$D:$AM, 14, FALSE) / VLOOKUP("transport|NOx|Premature mortality", US_national_yearly!$D:$AM, 10, FALSE), 1)</f>
        <v>1.3976621670094608E-3</v>
      </c>
      <c r="G2" s="7">
        <f>$B2 * IFERROR(VLOOKUP("transport|NOx|Premature mortality", US_national_yearly!$D:$AM, 15, FALSE) / VLOOKUP("transport|NOx|Premature mortality", US_national_yearly!$D:$AM, 10, FALSE), 1)</f>
        <v>1.4324913092302958E-3</v>
      </c>
      <c r="H2" s="7">
        <f>$B2 * IFERROR(VLOOKUP("transport|NOx|Premature mortality", US_national_yearly!$D:$AM, 16, FALSE) / VLOOKUP("transport|NOx|Premature mortality", US_national_yearly!$D:$AM, 10, FALSE), 1)</f>
        <v>1.4673204514511313E-3</v>
      </c>
      <c r="I2" s="7">
        <f>$B2 * IFERROR(VLOOKUP("transport|NOx|Premature mortality", US_national_yearly!$D:$AM, 17, FALSE) / VLOOKUP("transport|NOx|Premature mortality", US_national_yearly!$D:$AM, 10, FALSE), 1)</f>
        <v>1.4898033234159661E-3</v>
      </c>
      <c r="J2" s="7">
        <f>$B2 * IFERROR(VLOOKUP("transport|NOx|Premature mortality", US_national_yearly!$D:$AM, 18, FALSE) / VLOOKUP("transport|NOx|Premature mortality", US_national_yearly!$D:$AM, 10, FALSE), 1)</f>
        <v>1.5122861953808014E-3</v>
      </c>
      <c r="K2" s="7">
        <f>$B2 * IFERROR(VLOOKUP("transport|NOx|Premature mortality", US_national_yearly!$D:$AM, 19, FALSE) / VLOOKUP("transport|NOx|Premature mortality", US_national_yearly!$D:$AM, 10, FALSE), 1)</f>
        <v>1.5347690673456363E-3</v>
      </c>
      <c r="L2" s="7">
        <f>$B2 * IFERROR(VLOOKUP("transport|NOx|Premature mortality", US_national_yearly!$D:$AM, 20, FALSE) / VLOOKUP("transport|NOx|Premature mortality", US_national_yearly!$D:$AM, 10, FALSE), 1)</f>
        <v>1.5572519393104714E-3</v>
      </c>
      <c r="M2" s="7">
        <f>$B2 * IFERROR(VLOOKUP("transport|NOx|Premature mortality", US_national_yearly!$D:$AM, 21, FALSE) / VLOOKUP("transport|NOx|Premature mortality", US_national_yearly!$D:$AM, 10, FALSE), 1)</f>
        <v>1.5797348112753067E-3</v>
      </c>
      <c r="N2" s="7">
        <f>$B2 * IFERROR(VLOOKUP("transport|NOx|Premature mortality", US_national_yearly!$D:$AM, 22, FALSE) / VLOOKUP("transport|NOx|Premature mortality", US_national_yearly!$D:$AM, 10, FALSE), 1)</f>
        <v>1.5963900354237092E-3</v>
      </c>
      <c r="O2" s="7">
        <f>$B2 * IFERROR(VLOOKUP("transport|NOx|Premature mortality", US_national_yearly!$D:$AM, 23, FALSE) / VLOOKUP("transport|NOx|Premature mortality", US_national_yearly!$D:$AM, 10, FALSE), 1)</f>
        <v>1.6130452595721117E-3</v>
      </c>
      <c r="P2" s="7">
        <f>$B2 * IFERROR(VLOOKUP("transport|NOx|Premature mortality", US_national_yearly!$D:$AM, 24, FALSE) / VLOOKUP("transport|NOx|Premature mortality", US_national_yearly!$D:$AM, 10, FALSE), 1)</f>
        <v>1.6297004837205142E-3</v>
      </c>
      <c r="Q2" s="7">
        <f>$B2 * IFERROR(VLOOKUP("transport|NOx|Premature mortality", US_national_yearly!$D:$AM, 25, FALSE) / VLOOKUP("transport|NOx|Premature mortality", US_national_yearly!$D:$AM, 10, FALSE), 1)</f>
        <v>1.6463557078689171E-3</v>
      </c>
      <c r="R2" s="7">
        <f>$B2 * IFERROR(VLOOKUP("transport|NOx|Premature mortality", US_national_yearly!$D:$AM, 26, FALSE) / VLOOKUP("transport|NOx|Premature mortality", US_national_yearly!$D:$AM, 10, FALSE), 1)</f>
        <v>1.6630109320173196E-3</v>
      </c>
      <c r="S2" s="7">
        <f>$B2 * IFERROR(VLOOKUP("transport|NOx|Premature mortality", US_national_yearly!$D:$AM, 27, FALSE) / VLOOKUP("transport|NOx|Premature mortality", US_national_yearly!$D:$AM, 10, FALSE), 1)</f>
        <v>1.670580899108647E-3</v>
      </c>
      <c r="T2" s="7">
        <f>$B2 * IFERROR(VLOOKUP("transport|NOx|Premature mortality", US_national_yearly!$D:$AM, 28, FALSE) / VLOOKUP("transport|NOx|Premature mortality", US_national_yearly!$D:$AM, 10, FALSE), 1)</f>
        <v>1.6781508661999746E-3</v>
      </c>
      <c r="U2" s="7">
        <f>$B2 * IFERROR(VLOOKUP("transport|NOx|Premature mortality", US_national_yearly!$D:$AM, 29, FALSE) / VLOOKUP("transport|NOx|Premature mortality", US_national_yearly!$D:$AM, 10, FALSE), 1)</f>
        <v>1.6857208332913018E-3</v>
      </c>
      <c r="V2" s="7">
        <f>$B2 * IFERROR(VLOOKUP("transport|NOx|Premature mortality", US_national_yearly!$D:$AM, 30, FALSE) / VLOOKUP("transport|NOx|Premature mortality", US_national_yearly!$D:$AM, 10, FALSE), 1)</f>
        <v>1.6932908003826292E-3</v>
      </c>
      <c r="W2" s="7">
        <f>$B2 * IFERROR(VLOOKUP("transport|NOx|Premature mortality", US_national_yearly!$D:$AM, 31, FALSE) / VLOOKUP("transport|NOx|Premature mortality", US_national_yearly!$D:$AM, 10, FALSE), 1)</f>
        <v>1.7008607674739568E-3</v>
      </c>
      <c r="X2" s="7">
        <f>$B2 * IFERROR(VLOOKUP("transport|NOx|Premature mortality", US_national_yearly!$D:$AM, 32, FALSE) / VLOOKUP("transport|NOx|Premature mortality", US_national_yearly!$D:$AM, 10, FALSE), 1)</f>
        <v>1.7011229867888045E-3</v>
      </c>
      <c r="Y2" s="7">
        <f>$B2 * IFERROR(VLOOKUP("transport|NOx|Premature mortality", US_national_yearly!$D:$AM, 33, FALSE) / VLOOKUP("transport|NOx|Premature mortality", US_national_yearly!$D:$AM, 10, FALSE), 1)</f>
        <v>1.7013852061036523E-3</v>
      </c>
      <c r="Z2" s="7">
        <f>$B2 * IFERROR(VLOOKUP("transport|NOx|Premature mortality", US_national_yearly!$D:$AM, 34, FALSE) / VLOOKUP("transport|NOx|Premature mortality", US_national_yearly!$D:$AM, 10, FALSE), 1)</f>
        <v>1.7016474254184996E-3</v>
      </c>
      <c r="AA2" s="7">
        <f>$B2 * IFERROR(VLOOKUP("transport|NOx|Premature mortality", US_national_yearly!$D:$AM, 35, FALSE) / VLOOKUP("transport|NOx|Premature mortality", US_national_yearly!$D:$AM, 10, FALSE), 1)</f>
        <v>1.7019096447333478E-3</v>
      </c>
      <c r="AB2" s="7">
        <f>$B2 * IFERROR(VLOOKUP("transport|NOx|Premature mortality", US_national_yearly!$D:$AM, 36, FALSE) / VLOOKUP("transport|NOx|Premature mortality", US_national_yearly!$D:$AM, 10, FALSE), 1)</f>
        <v>1.7021718640481956E-3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2.1538682548556833E-6</v>
      </c>
      <c r="C3" s="7">
        <f>$B3 * IFERROR(VLOOKUP("transport|NOx|Infant mortality", US_national_yearly!$D:$AM, 11, FALSE) / VLOOKUP("transport|NOx|Infant mortality", US_national_yearly!$D:$AM, 10, FALSE), 1)</f>
        <v>2.1333471713218595E-6</v>
      </c>
      <c r="D3" s="7">
        <f>$B3 * IFERROR(VLOOKUP("transport|NOx|Infant mortality", US_national_yearly!$D:$AM, 12, FALSE) / VLOOKUP("transport|NOx|Infant mortality", US_national_yearly!$D:$AM, 10, FALSE), 1)</f>
        <v>2.1128260877880356E-6</v>
      </c>
      <c r="E3" s="7">
        <f>$B3 * IFERROR(VLOOKUP("transport|NOx|Infant mortality", US_national_yearly!$D:$AM, 13, FALSE) / VLOOKUP("transport|NOx|Infant mortality", US_national_yearly!$D:$AM, 10, FALSE), 1)</f>
        <v>2.0923050042542117E-6</v>
      </c>
      <c r="F3" s="7">
        <f>$B3 * IFERROR(VLOOKUP("transport|NOx|Infant mortality", US_national_yearly!$D:$AM, 14, FALSE) / VLOOKUP("transport|NOx|Infant mortality", US_national_yearly!$D:$AM, 10, FALSE), 1)</f>
        <v>2.0717839207203879E-6</v>
      </c>
      <c r="G3" s="7">
        <f>$B3 * IFERROR(VLOOKUP("transport|NOx|Infant mortality", US_national_yearly!$D:$AM, 15, FALSE) / VLOOKUP("transport|NOx|Infant mortality", US_national_yearly!$D:$AM, 10, FALSE), 1)</f>
        <v>1.3753524733000246E-6</v>
      </c>
      <c r="H3" s="7">
        <f>$B3 * IFERROR(VLOOKUP("transport|NOx|Infant mortality", US_national_yearly!$D:$AM, 16, FALSE) / VLOOKUP("transport|NOx|Infant mortality", US_national_yearly!$D:$AM, 10, FALSE), 1)</f>
        <v>6.7892102587966172E-7</v>
      </c>
      <c r="I3" s="7">
        <f>$B3 * IFERROR(VLOOKUP("transport|NOx|Infant mortality", US_national_yearly!$D:$AM, 17, FALSE) / VLOOKUP("transport|NOx|Infant mortality", US_national_yearly!$D:$AM, 10, FALSE), 1)</f>
        <v>6.7412040599025546E-7</v>
      </c>
      <c r="J3" s="7">
        <f>$B3 * IFERROR(VLOOKUP("transport|NOx|Infant mortality", US_national_yearly!$D:$AM, 18, FALSE) / VLOOKUP("transport|NOx|Infant mortality", US_national_yearly!$D:$AM, 10, FALSE), 1)</f>
        <v>6.693197861008491E-7</v>
      </c>
      <c r="K3" s="7">
        <f>$B3 * IFERROR(VLOOKUP("transport|NOx|Infant mortality", US_national_yearly!$D:$AM, 19, FALSE) / VLOOKUP("transport|NOx|Infant mortality", US_national_yearly!$D:$AM, 10, FALSE), 1)</f>
        <v>6.6451916621144284E-7</v>
      </c>
      <c r="L3" s="7">
        <f>$B3 * IFERROR(VLOOKUP("transport|NOx|Infant mortality", US_national_yearly!$D:$AM, 20, FALSE) / VLOOKUP("transport|NOx|Infant mortality", US_national_yearly!$D:$AM, 10, FALSE), 1)</f>
        <v>6.5971854632203658E-7</v>
      </c>
      <c r="M3" s="7">
        <f>$B3 * IFERROR(VLOOKUP("transport|NOx|Infant mortality", US_national_yearly!$D:$AM, 21, FALSE) / VLOOKUP("transport|NOx|Infant mortality", US_national_yearly!$D:$AM, 10, FALSE), 1)</f>
        <v>6.5491792643263022E-7</v>
      </c>
      <c r="N3" s="7">
        <f>$B3 * IFERROR(VLOOKUP("transport|NOx|Infant mortality", US_national_yearly!$D:$AM, 22, FALSE) / VLOOKUP("transport|NOx|Infant mortality", US_national_yearly!$D:$AM, 10, FALSE), 1)</f>
        <v>6.5173147567588769E-7</v>
      </c>
      <c r="O3" s="7">
        <f>$B3 * IFERROR(VLOOKUP("transport|NOx|Infant mortality", US_national_yearly!$D:$AM, 23, FALSE) / VLOOKUP("transport|NOx|Infant mortality", US_national_yearly!$D:$AM, 10, FALSE), 1)</f>
        <v>6.4854502491914507E-7</v>
      </c>
      <c r="P3" s="7">
        <f>$B3 * IFERROR(VLOOKUP("transport|NOx|Infant mortality", US_national_yearly!$D:$AM, 24, FALSE) / VLOOKUP("transport|NOx|Infant mortality", US_national_yearly!$D:$AM, 10, FALSE), 1)</f>
        <v>6.4535857416240255E-7</v>
      </c>
      <c r="Q3" s="7">
        <f>$B3 * IFERROR(VLOOKUP("transport|NOx|Infant mortality", US_national_yearly!$D:$AM, 25, FALSE) / VLOOKUP("transport|NOx|Infant mortality", US_national_yearly!$D:$AM, 10, FALSE), 1)</f>
        <v>6.4217212340565992E-7</v>
      </c>
      <c r="R3" s="7">
        <f>$B3 * IFERROR(VLOOKUP("transport|NOx|Infant mortality", US_national_yearly!$D:$AM, 26, FALSE) / VLOOKUP("transport|NOx|Infant mortality", US_national_yearly!$D:$AM, 10, FALSE), 1)</f>
        <v>6.389856726489174E-7</v>
      </c>
      <c r="S3" s="7">
        <f>$B3 * IFERROR(VLOOKUP("transport|NOx|Infant mortality", US_national_yearly!$D:$AM, 27, FALSE) / VLOOKUP("transport|NOx|Infant mortality", US_national_yearly!$D:$AM, 10, FALSE), 1)</f>
        <v>6.3515505211772284E-7</v>
      </c>
      <c r="T3" s="7">
        <f>$B3 * IFERROR(VLOOKUP("transport|NOx|Infant mortality", US_national_yearly!$D:$AM, 28, FALSE) / VLOOKUP("transport|NOx|Infant mortality", US_national_yearly!$D:$AM, 10, FALSE), 1)</f>
        <v>6.3132443158652839E-7</v>
      </c>
      <c r="U3" s="7">
        <f>$B3 * IFERROR(VLOOKUP("transport|NOx|Infant mortality", US_national_yearly!$D:$AM, 29, FALSE) / VLOOKUP("transport|NOx|Infant mortality", US_national_yearly!$D:$AM, 10, FALSE), 1)</f>
        <v>6.2749381105533393E-7</v>
      </c>
      <c r="V3" s="7">
        <f>$B3 * IFERROR(VLOOKUP("transport|NOx|Infant mortality", US_national_yearly!$D:$AM, 30, FALSE) / VLOOKUP("transport|NOx|Infant mortality", US_national_yearly!$D:$AM, 10, FALSE), 1)</f>
        <v>6.2366319052413948E-7</v>
      </c>
      <c r="W3" s="7">
        <f>$B3 * IFERROR(VLOOKUP("transport|NOx|Infant mortality", US_national_yearly!$D:$AM, 31, FALSE) / VLOOKUP("transport|NOx|Infant mortality", US_national_yearly!$D:$AM, 10, FALSE), 1)</f>
        <v>6.1983256999294503E-7</v>
      </c>
      <c r="X3" s="7">
        <f>$B3 * IFERROR(VLOOKUP("transport|NOx|Infant mortality", US_national_yearly!$D:$AM, 32, FALSE) / VLOOKUP("transport|NOx|Infant mortality", US_national_yearly!$D:$AM, 10, FALSE), 1)</f>
        <v>6.1577575760916178E-7</v>
      </c>
      <c r="Y3" s="7">
        <f>$B3 * IFERROR(VLOOKUP("transport|NOx|Infant mortality", US_national_yearly!$D:$AM, 33, FALSE) / VLOOKUP("transport|NOx|Infant mortality", US_national_yearly!$D:$AM, 10, FALSE), 1)</f>
        <v>6.1171894522537833E-7</v>
      </c>
      <c r="Z3" s="7">
        <f>$B3 * IFERROR(VLOOKUP("transport|NOx|Infant mortality", US_national_yearly!$D:$AM, 34, FALSE) / VLOOKUP("transport|NOx|Infant mortality", US_national_yearly!$D:$AM, 10, FALSE), 1)</f>
        <v>6.0766213284159498E-7</v>
      </c>
      <c r="AA3" s="7">
        <f>$B3 * IFERROR(VLOOKUP("transport|NOx|Infant mortality", US_national_yearly!$D:$AM, 35, FALSE) / VLOOKUP("transport|NOx|Infant mortality", US_national_yearly!$D:$AM, 10, FALSE), 1)</f>
        <v>6.0360532045781163E-7</v>
      </c>
      <c r="AB3" s="7">
        <f>$B3 * IFERROR(VLOOKUP("transport|NOx|Infant mortality", US_national_yearly!$D:$AM, 36, FALSE) / VLOOKUP("transport|NOx|Infant mortality", US_national_yearly!$D:$AM, 10, FALSE), 1)</f>
        <v>5.9954850807402817E-7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3.1927070679285364E-3</v>
      </c>
      <c r="C6" s="7">
        <f>$B6 * IFERROR(VLOOKUP("transport|NOx|Asthma symptoms cough", US_national_yearly!$D:$AM, 11, FALSE) / VLOOKUP("transport|NOx|Asthma symptoms cough", US_national_yearly!$D:$AM, 10, FALSE), 1)</f>
        <v>3.2363565934165491E-3</v>
      </c>
      <c r="D6" s="7">
        <f>$B6 * IFERROR(VLOOKUP("transport|NOx|Asthma symptoms cough", US_national_yearly!$D:$AM, 12, FALSE) / VLOOKUP("transport|NOx|Asthma symptoms cough", US_national_yearly!$D:$AM, 10, FALSE), 1)</f>
        <v>3.2800061189045614E-3</v>
      </c>
      <c r="E6" s="7">
        <f>$B6 * IFERROR(VLOOKUP("transport|NOx|Asthma symptoms cough", US_national_yearly!$D:$AM, 13, FALSE) / VLOOKUP("transport|NOx|Asthma symptoms cough", US_national_yearly!$D:$AM, 10, FALSE), 1)</f>
        <v>3.323655644392574E-3</v>
      </c>
      <c r="F6" s="7">
        <f>$B6 * IFERROR(VLOOKUP("transport|NOx|Asthma symptoms cough", US_national_yearly!$D:$AM, 14, FALSE) / VLOOKUP("transport|NOx|Asthma symptoms cough", US_national_yearly!$D:$AM, 10, FALSE), 1)</f>
        <v>3.3673051698805863E-3</v>
      </c>
      <c r="G6" s="7">
        <f>$B6 * IFERROR(VLOOKUP("transport|NOx|Asthma symptoms cough", US_national_yearly!$D:$AM, 15, FALSE) / VLOOKUP("transport|NOx|Asthma symptoms cough", US_national_yearly!$D:$AM, 10, FALSE), 1)</f>
        <v>3.4021532163736644E-3</v>
      </c>
      <c r="H6" s="7">
        <f>$B6 * IFERROR(VLOOKUP("transport|NOx|Asthma symptoms cough", US_national_yearly!$D:$AM, 16, FALSE) / VLOOKUP("transport|NOx|Asthma symptoms cough", US_national_yearly!$D:$AM, 10, FALSE), 1)</f>
        <v>3.437001262866743E-3</v>
      </c>
      <c r="I6" s="7">
        <f>$B6 * IFERROR(VLOOKUP("transport|NOx|Asthma symptoms cough", US_national_yearly!$D:$AM, 17, FALSE) / VLOOKUP("transport|NOx|Asthma symptoms cough", US_national_yearly!$D:$AM, 10, FALSE), 1)</f>
        <v>3.4489954622906544E-3</v>
      </c>
      <c r="J6" s="7">
        <f>$B6 * IFERROR(VLOOKUP("transport|NOx|Asthma symptoms cough", US_national_yearly!$D:$AM, 18, FALSE) / VLOOKUP("transport|NOx|Asthma symptoms cough", US_national_yearly!$D:$AM, 10, FALSE), 1)</f>
        <v>3.4609896617145662E-3</v>
      </c>
      <c r="K6" s="7">
        <f>$B6 * IFERROR(VLOOKUP("transport|NOx|Asthma symptoms cough", US_national_yearly!$D:$AM, 19, FALSE) / VLOOKUP("transport|NOx|Asthma symptoms cough", US_national_yearly!$D:$AM, 10, FALSE), 1)</f>
        <v>3.4729838611384772E-3</v>
      </c>
      <c r="L6" s="7">
        <f>$B6 * IFERROR(VLOOKUP("transport|NOx|Asthma symptoms cough", US_national_yearly!$D:$AM, 20, FALSE) / VLOOKUP("transport|NOx|Asthma symptoms cough", US_national_yearly!$D:$AM, 10, FALSE), 1)</f>
        <v>3.4849780605623886E-3</v>
      </c>
      <c r="M6" s="7">
        <f>$B6 * IFERROR(VLOOKUP("transport|NOx|Asthma symptoms cough", US_national_yearly!$D:$AM, 21, FALSE) / VLOOKUP("transport|NOx|Asthma symptoms cough", US_national_yearly!$D:$AM, 10, FALSE), 1)</f>
        <v>3.4969722599863004E-3</v>
      </c>
      <c r="N6" s="7">
        <f>$B6 * IFERROR(VLOOKUP("transport|NOx|Asthma symptoms cough", US_national_yearly!$D:$AM, 22, FALSE) / VLOOKUP("transport|NOx|Asthma symptoms cough", US_national_yearly!$D:$AM, 10, FALSE), 1)</f>
        <v>3.5108804273936076E-3</v>
      </c>
      <c r="O6" s="7">
        <f>$B6 * IFERROR(VLOOKUP("transport|NOx|Asthma symptoms cough", US_national_yearly!$D:$AM, 23, FALSE) / VLOOKUP("transport|NOx|Asthma symptoms cough", US_national_yearly!$D:$AM, 10, FALSE), 1)</f>
        <v>3.5247885948009152E-3</v>
      </c>
      <c r="P6" s="7">
        <f>$B6 * IFERROR(VLOOKUP("transport|NOx|Asthma symptoms cough", US_national_yearly!$D:$AM, 24, FALSE) / VLOOKUP("transport|NOx|Asthma symptoms cough", US_national_yearly!$D:$AM, 10, FALSE), 1)</f>
        <v>3.5386967622082228E-3</v>
      </c>
      <c r="Q6" s="7">
        <f>$B6 * IFERROR(VLOOKUP("transport|NOx|Asthma symptoms cough", US_national_yearly!$D:$AM, 25, FALSE) / VLOOKUP("transport|NOx|Asthma symptoms cough", US_national_yearly!$D:$AM, 10, FALSE), 1)</f>
        <v>3.5526049296155308E-3</v>
      </c>
      <c r="R6" s="7">
        <f>$B6 * IFERROR(VLOOKUP("transport|NOx|Asthma symptoms cough", US_national_yearly!$D:$AM, 26, FALSE) / VLOOKUP("transport|NOx|Asthma symptoms cough", US_national_yearly!$D:$AM, 10, FALSE), 1)</f>
        <v>3.5665130970228384E-3</v>
      </c>
      <c r="S6" s="7">
        <f>$B6 * IFERROR(VLOOKUP("transport|NOx|Asthma symptoms cough", US_national_yearly!$D:$AM, 27, FALSE) / VLOOKUP("transport|NOx|Asthma symptoms cough", US_national_yearly!$D:$AM, 10, FALSE), 1)</f>
        <v>3.5846815933752775E-3</v>
      </c>
      <c r="T6" s="7">
        <f>$B6 * IFERROR(VLOOKUP("transport|NOx|Asthma symptoms cough", US_national_yearly!$D:$AM, 28, FALSE) / VLOOKUP("transport|NOx|Asthma symptoms cough", US_national_yearly!$D:$AM, 10, FALSE), 1)</f>
        <v>3.6028500897277156E-3</v>
      </c>
      <c r="U6" s="7">
        <f>$B6 * IFERROR(VLOOKUP("transport|NOx|Asthma symptoms cough", US_national_yearly!$D:$AM, 29, FALSE) / VLOOKUP("transport|NOx|Asthma symptoms cough", US_national_yearly!$D:$AM, 10, FALSE), 1)</f>
        <v>3.6210185860801533E-3</v>
      </c>
      <c r="V6" s="7">
        <f>$B6 * IFERROR(VLOOKUP("transport|NOx|Asthma symptoms cough", US_national_yearly!$D:$AM, 30, FALSE) / VLOOKUP("transport|NOx|Asthma symptoms cough", US_national_yearly!$D:$AM, 10, FALSE), 1)</f>
        <v>3.6391870824325923E-3</v>
      </c>
      <c r="W6" s="7">
        <f>$B6 * IFERROR(VLOOKUP("transport|NOx|Asthma symptoms cough", US_national_yearly!$D:$AM, 31, FALSE) / VLOOKUP("transport|NOx|Asthma symptoms cough", US_national_yearly!$D:$AM, 10, FALSE), 1)</f>
        <v>3.6573555787850305E-3</v>
      </c>
      <c r="X6" s="7">
        <f>$B6 * IFERROR(VLOOKUP("transport|NOx|Asthma symptoms cough", US_national_yearly!$D:$AM, 32, FALSE) / VLOOKUP("transport|NOx|Asthma symptoms cough", US_national_yearly!$D:$AM, 10, FALSE), 1)</f>
        <v>3.6742367224467951E-3</v>
      </c>
      <c r="Y6" s="7">
        <f>$B6 * IFERROR(VLOOKUP("transport|NOx|Asthma symptoms cough", US_national_yearly!$D:$AM, 33, FALSE) / VLOOKUP("transport|NOx|Asthma symptoms cough", US_national_yearly!$D:$AM, 10, FALSE), 1)</f>
        <v>3.6911178661085597E-3</v>
      </c>
      <c r="Z6" s="7">
        <f>$B6 * IFERROR(VLOOKUP("transport|NOx|Asthma symptoms cough", US_national_yearly!$D:$AM, 34, FALSE) / VLOOKUP("transport|NOx|Asthma symptoms cough", US_national_yearly!$D:$AM, 10, FALSE), 1)</f>
        <v>3.7079990097703239E-3</v>
      </c>
      <c r="AA6" s="7">
        <f>$B6 * IFERROR(VLOOKUP("transport|NOx|Asthma symptoms cough", US_national_yearly!$D:$AM, 35, FALSE) / VLOOKUP("transport|NOx|Asthma symptoms cough", US_national_yearly!$D:$AM, 10, FALSE), 1)</f>
        <v>3.7248801534320885E-3</v>
      </c>
      <c r="AB6" s="7">
        <f>$B6 * IFERROR(VLOOKUP("transport|NOx|Asthma symptoms cough", US_national_yearly!$D:$AM, 36, FALSE) / VLOOKUP("transport|NOx|Asthma symptoms cough", US_national_yearly!$D:$AM, 10, FALSE), 1)</f>
        <v>3.7417612970938536E-3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4.2993403719295102E-3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4.358119383911065E-3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4.4168983958926197E-3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4.4756774078741745E-3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4.5344564198557293E-3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4.5813832470702294E-3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4.6283100742847295E-3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4.6444616172772934E-3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4.6606131602698565E-3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4.6767647032624196E-3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4.6929162462549827E-3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4.7090677892475466E-3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4.7277967061721297E-3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4.7465256230967137E-3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4.7652545400212968E-3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4.7839834569458799E-3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4.8027123738704639E-3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4.8271783045583721E-3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4.8516442352462821E-3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4.8761101659341903E-3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4.9005760966220977E-3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4.925042027310006E-3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4.9477743923047454E-3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4.9705067572994839E-3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4.9932391222942242E-3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5.0159714872889637E-3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5.0387038522837022E-3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6.569030621024128E-3</v>
      </c>
      <c r="C8" s="7">
        <f>$B8 * IFERROR(VLOOKUP("transport|NOx|Asthma symptoms wheeze", US_national_yearly!$D:$AM, 11, FALSE) / VLOOKUP("transport|NOx|Asthma symptoms wheeze", US_national_yearly!$D:$AM, 10, FALSE), 1)</f>
        <v>6.658840009677299E-3</v>
      </c>
      <c r="D8" s="7">
        <f>$B8 * IFERROR(VLOOKUP("transport|NOx|Asthma symptoms wheeze", US_national_yearly!$D:$AM, 12, FALSE) / VLOOKUP("transport|NOx|Asthma symptoms wheeze", US_national_yearly!$D:$AM, 10, FALSE), 1)</f>
        <v>6.7486493983304726E-3</v>
      </c>
      <c r="E8" s="7">
        <f>$B8 * IFERROR(VLOOKUP("transport|NOx|Asthma symptoms wheeze", US_national_yearly!$D:$AM, 13, FALSE) / VLOOKUP("transport|NOx|Asthma symptoms wheeze", US_national_yearly!$D:$AM, 10, FALSE), 1)</f>
        <v>6.8384587869836436E-3</v>
      </c>
      <c r="F8" s="7">
        <f>$B8 * IFERROR(VLOOKUP("transport|NOx|Asthma symptoms wheeze", US_national_yearly!$D:$AM, 14, FALSE) / VLOOKUP("transport|NOx|Asthma symptoms wheeze", US_national_yearly!$D:$AM, 10, FALSE), 1)</f>
        <v>6.9282681756368146E-3</v>
      </c>
      <c r="G8" s="7">
        <f>$B8 * IFERROR(VLOOKUP("transport|NOx|Asthma symptoms wheeze", US_national_yearly!$D:$AM, 15, FALSE) / VLOOKUP("transport|NOx|Asthma symptoms wheeze", US_national_yearly!$D:$AM, 10, FALSE), 1)</f>
        <v>6.9999684225155977E-3</v>
      </c>
      <c r="H8" s="7">
        <f>$B8 * IFERROR(VLOOKUP("transport|NOx|Asthma symptoms wheeze", US_national_yearly!$D:$AM, 16, FALSE) / VLOOKUP("transport|NOx|Asthma symptoms wheeze", US_national_yearly!$D:$AM, 10, FALSE), 1)</f>
        <v>7.0716686693943799E-3</v>
      </c>
      <c r="I8" s="7">
        <f>$B8 * IFERROR(VLOOKUP("transport|NOx|Asthma symptoms wheeze", US_national_yearly!$D:$AM, 17, FALSE) / VLOOKUP("transport|NOx|Asthma symptoms wheeze", US_national_yearly!$D:$AM, 10, FALSE), 1)</f>
        <v>7.0963468694523017E-3</v>
      </c>
      <c r="J8" s="7">
        <f>$B8 * IFERROR(VLOOKUP("transport|NOx|Asthma symptoms wheeze", US_national_yearly!$D:$AM, 18, FALSE) / VLOOKUP("transport|NOx|Asthma symptoms wheeze", US_national_yearly!$D:$AM, 10, FALSE), 1)</f>
        <v>7.1210250695102261E-3</v>
      </c>
      <c r="K8" s="7">
        <f>$B8 * IFERROR(VLOOKUP("transport|NOx|Asthma symptoms wheeze", US_national_yearly!$D:$AM, 19, FALSE) / VLOOKUP("transport|NOx|Asthma symptoms wheeze", US_national_yearly!$D:$AM, 10, FALSE), 1)</f>
        <v>7.1457032695681462E-3</v>
      </c>
      <c r="L8" s="7">
        <f>$B8 * IFERROR(VLOOKUP("transport|NOx|Asthma symptoms wheeze", US_national_yearly!$D:$AM, 20, FALSE) / VLOOKUP("transport|NOx|Asthma symptoms wheeze", US_national_yearly!$D:$AM, 10, FALSE), 1)</f>
        <v>7.1703814696260706E-3</v>
      </c>
      <c r="M8" s="7">
        <f>$B8 * IFERROR(VLOOKUP("transport|NOx|Asthma symptoms wheeze", US_national_yearly!$D:$AM, 21, FALSE) / VLOOKUP("transport|NOx|Asthma symptoms wheeze", US_national_yearly!$D:$AM, 10, FALSE), 1)</f>
        <v>7.1950596696839925E-3</v>
      </c>
      <c r="N8" s="7">
        <f>$B8 * IFERROR(VLOOKUP("transport|NOx|Asthma symptoms wheeze", US_national_yearly!$D:$AM, 22, FALSE) / VLOOKUP("transport|NOx|Asthma symptoms wheeze", US_national_yearly!$D:$AM, 10, FALSE), 1)</f>
        <v>7.2236758803807489E-3</v>
      </c>
      <c r="O8" s="7">
        <f>$B8 * IFERROR(VLOOKUP("transport|NOx|Asthma symptoms wheeze", US_national_yearly!$D:$AM, 23, FALSE) / VLOOKUP("transport|NOx|Asthma symptoms wheeze", US_national_yearly!$D:$AM, 10, FALSE), 1)</f>
        <v>7.2522920910775062E-3</v>
      </c>
      <c r="P8" s="7">
        <f>$B8 * IFERROR(VLOOKUP("transport|NOx|Asthma symptoms wheeze", US_national_yearly!$D:$AM, 24, FALSE) / VLOOKUP("transport|NOx|Asthma symptoms wheeze", US_national_yearly!$D:$AM, 10, FALSE), 1)</f>
        <v>7.2809083017742618E-3</v>
      </c>
      <c r="Q8" s="7">
        <f>$B8 * IFERROR(VLOOKUP("transport|NOx|Asthma symptoms wheeze", US_national_yearly!$D:$AM, 25, FALSE) / VLOOKUP("transport|NOx|Asthma symptoms wheeze", US_national_yearly!$D:$AM, 10, FALSE), 1)</f>
        <v>7.3095245124710191E-3</v>
      </c>
      <c r="R8" s="7">
        <f>$B8 * IFERROR(VLOOKUP("transport|NOx|Asthma symptoms wheeze", US_national_yearly!$D:$AM, 26, FALSE) / VLOOKUP("transport|NOx|Asthma symptoms wheeze", US_national_yearly!$D:$AM, 10, FALSE), 1)</f>
        <v>7.3381407231677756E-3</v>
      </c>
      <c r="S8" s="7">
        <f>$B8 * IFERROR(VLOOKUP("transport|NOx|Asthma symptoms wheeze", US_national_yearly!$D:$AM, 27, FALSE) / VLOOKUP("transport|NOx|Asthma symptoms wheeze", US_national_yearly!$D:$AM, 10, FALSE), 1)</f>
        <v>7.3755226085111657E-3</v>
      </c>
      <c r="T8" s="7">
        <f>$B8 * IFERROR(VLOOKUP("transport|NOx|Asthma symptoms wheeze", US_national_yearly!$D:$AM, 28, FALSE) / VLOOKUP("transport|NOx|Asthma symptoms wheeze", US_national_yearly!$D:$AM, 10, FALSE), 1)</f>
        <v>7.4129044938545567E-3</v>
      </c>
      <c r="U8" s="7">
        <f>$B8 * IFERROR(VLOOKUP("transport|NOx|Asthma symptoms wheeze", US_national_yearly!$D:$AM, 29, FALSE) / VLOOKUP("transport|NOx|Asthma symptoms wheeze", US_national_yearly!$D:$AM, 10, FALSE), 1)</f>
        <v>7.4502863791979469E-3</v>
      </c>
      <c r="V8" s="7">
        <f>$B8 * IFERROR(VLOOKUP("transport|NOx|Asthma symptoms wheeze", US_national_yearly!$D:$AM, 30, FALSE) / VLOOKUP("transport|NOx|Asthma symptoms wheeze", US_national_yearly!$D:$AM, 10, FALSE), 1)</f>
        <v>7.4876682645413388E-3</v>
      </c>
      <c r="W8" s="7">
        <f>$B8 * IFERROR(VLOOKUP("transport|NOx|Asthma symptoms wheeze", US_national_yearly!$D:$AM, 31, FALSE) / VLOOKUP("transport|NOx|Asthma symptoms wheeze", US_national_yearly!$D:$AM, 10, FALSE), 1)</f>
        <v>7.525050149884728E-3</v>
      </c>
      <c r="X8" s="7">
        <f>$B8 * IFERROR(VLOOKUP("transport|NOx|Asthma symptoms wheeze", US_national_yearly!$D:$AM, 32, FALSE) / VLOOKUP("transport|NOx|Asthma symptoms wheeze", US_national_yearly!$D:$AM, 10, FALSE), 1)</f>
        <v>7.5597832925936069E-3</v>
      </c>
      <c r="Y8" s="7">
        <f>$B8 * IFERROR(VLOOKUP("transport|NOx|Asthma symptoms wheeze", US_national_yearly!$D:$AM, 33, FALSE) / VLOOKUP("transport|NOx|Asthma symptoms wheeze", US_national_yearly!$D:$AM, 10, FALSE), 1)</f>
        <v>7.5945164353024832E-3</v>
      </c>
      <c r="Z8" s="7">
        <f>$B8 * IFERROR(VLOOKUP("transport|NOx|Asthma symptoms wheeze", US_national_yearly!$D:$AM, 34, FALSE) / VLOOKUP("transport|NOx|Asthma symptoms wheeze", US_national_yearly!$D:$AM, 10, FALSE), 1)</f>
        <v>7.6292495780113621E-3</v>
      </c>
      <c r="AA8" s="7">
        <f>$B8 * IFERROR(VLOOKUP("transport|NOx|Asthma symptoms wheeze", US_national_yearly!$D:$AM, 35, FALSE) / VLOOKUP("transport|NOx|Asthma symptoms wheeze", US_national_yearly!$D:$AM, 10, FALSE), 1)</f>
        <v>7.6639827207202393E-3</v>
      </c>
      <c r="AB8" s="7">
        <f>$B8 * IFERROR(VLOOKUP("transport|NOx|Asthma symptoms wheeze", US_national_yearly!$D:$AM, 36, FALSE) / VLOOKUP("transport|NOx|Asthma symptoms wheeze", US_national_yearly!$D:$AM, 10, FALSE), 1)</f>
        <v>7.6987158634291173E-3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1.0675355295934097E-4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1.0941648454372216E-4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1.1207941612810339E-4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1.1474234771248461E-4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1.1740527929686583E-4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1.199511325269366E-4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1.2249698575700737E-4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1.2465846748678326E-4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1.2681994921655913E-4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1.2898143094633503E-4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1.3114291267611093E-4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1.333043944058868E-4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1.3474938385876808E-4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1.3619437331164941E-4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1.3763936276453068E-4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1.3908435221741199E-4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1.4052934167029329E-4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1.4130352786446832E-4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1.4207771405864338E-4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1.4285190025281841E-4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1.4362608644699344E-4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1.444002726411685E-4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1.4492932832533808E-4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1.4545838400950765E-4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1.4598743969367726E-4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1.4651649537784686E-4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1.4704555106201641E-4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6.0848958171301254E-4</v>
      </c>
      <c r="C13" s="7">
        <f>$B13 * IFERROR(VLOOKUP("transport|NOx|Non-fatal heart attacks", US_national_yearly!$D:$AM, 11, FALSE) / VLOOKUP("transport|NOx|Non-fatal heart attacks", US_national_yearly!$D:$AM, 10, FALSE), 1)</f>
        <v>6.2588576274066074E-4</v>
      </c>
      <c r="D13" s="7">
        <f>$B13 * IFERROR(VLOOKUP("transport|NOx|Non-fatal heart attacks", US_national_yearly!$D:$AM, 12, FALSE) / VLOOKUP("transport|NOx|Non-fatal heart attacks", US_national_yearly!$D:$AM, 10, FALSE), 1)</f>
        <v>6.4328194376830905E-4</v>
      </c>
      <c r="E13" s="7">
        <f>$B13 * IFERROR(VLOOKUP("transport|NOx|Non-fatal heart attacks", US_national_yearly!$D:$AM, 13, FALSE) / VLOOKUP("transport|NOx|Non-fatal heart attacks", US_national_yearly!$D:$AM, 10, FALSE), 1)</f>
        <v>6.6067812479595714E-4</v>
      </c>
      <c r="F13" s="7">
        <f>$B13 * IFERROR(VLOOKUP("transport|NOx|Non-fatal heart attacks", US_national_yearly!$D:$AM, 14, FALSE) / VLOOKUP("transport|NOx|Non-fatal heart attacks", US_national_yearly!$D:$AM, 10, FALSE), 1)</f>
        <v>6.7807430582360545E-4</v>
      </c>
      <c r="G13" s="7">
        <f>$B13 * IFERROR(VLOOKUP("transport|NOx|Non-fatal heart attacks", US_national_yearly!$D:$AM, 15, FALSE) / VLOOKUP("transport|NOx|Non-fatal heart attacks", US_national_yearly!$D:$AM, 10, FALSE), 1)</f>
        <v>6.9433100083863999E-4</v>
      </c>
      <c r="H13" s="7">
        <f>$B13 * IFERROR(VLOOKUP("transport|NOx|Non-fatal heart attacks", US_national_yearly!$D:$AM, 16, FALSE) / VLOOKUP("transport|NOx|Non-fatal heart attacks", US_national_yearly!$D:$AM, 10, FALSE), 1)</f>
        <v>7.1058769585367464E-4</v>
      </c>
      <c r="I13" s="7">
        <f>$B13 * IFERROR(VLOOKUP("transport|NOx|Non-fatal heart attacks", US_national_yearly!$D:$AM, 17, FALSE) / VLOOKUP("transport|NOx|Non-fatal heart attacks", US_national_yearly!$D:$AM, 10, FALSE), 1)</f>
        <v>7.2340424155535458E-4</v>
      </c>
      <c r="J13" s="7">
        <f>$B13 * IFERROR(VLOOKUP("transport|NOx|Non-fatal heart attacks", US_national_yearly!$D:$AM, 18, FALSE) / VLOOKUP("transport|NOx|Non-fatal heart attacks", US_national_yearly!$D:$AM, 10, FALSE), 1)</f>
        <v>7.3622078725703462E-4</v>
      </c>
      <c r="K13" s="7">
        <f>$B13 * IFERROR(VLOOKUP("transport|NOx|Non-fatal heart attacks", US_national_yearly!$D:$AM, 19, FALSE) / VLOOKUP("transport|NOx|Non-fatal heart attacks", US_national_yearly!$D:$AM, 10, FALSE), 1)</f>
        <v>7.4903733295871413E-4</v>
      </c>
      <c r="L13" s="7">
        <f>$B13 * IFERROR(VLOOKUP("transport|NOx|Non-fatal heart attacks", US_national_yearly!$D:$AM, 20, FALSE) / VLOOKUP("transport|NOx|Non-fatal heart attacks", US_national_yearly!$D:$AM, 10, FALSE), 1)</f>
        <v>7.618538786603945E-4</v>
      </c>
      <c r="M13" s="7">
        <f>$B13 * IFERROR(VLOOKUP("transport|NOx|Non-fatal heart attacks", US_national_yearly!$D:$AM, 21, FALSE) / VLOOKUP("transport|NOx|Non-fatal heart attacks", US_national_yearly!$D:$AM, 10, FALSE), 1)</f>
        <v>7.7467042436207432E-4</v>
      </c>
      <c r="N13" s="7">
        <f>$B13 * IFERROR(VLOOKUP("transport|NOx|Non-fatal heart attacks", US_national_yearly!$D:$AM, 22, FALSE) / VLOOKUP("transport|NOx|Non-fatal heart attacks", US_national_yearly!$D:$AM, 10, FALSE), 1)</f>
        <v>7.8238124693817451E-4</v>
      </c>
      <c r="O13" s="7">
        <f>$B13 * IFERROR(VLOOKUP("transport|NOx|Non-fatal heart attacks", US_national_yearly!$D:$AM, 23, FALSE) / VLOOKUP("transport|NOx|Non-fatal heart attacks", US_national_yearly!$D:$AM, 10, FALSE), 1)</f>
        <v>7.900920695142747E-4</v>
      </c>
      <c r="P13" s="7">
        <f>$B13 * IFERROR(VLOOKUP("transport|NOx|Non-fatal heart attacks", US_national_yearly!$D:$AM, 24, FALSE) / VLOOKUP("transport|NOx|Non-fatal heart attacks", US_national_yearly!$D:$AM, 10, FALSE), 1)</f>
        <v>7.9780289209037479E-4</v>
      </c>
      <c r="Q13" s="7">
        <f>$B13 * IFERROR(VLOOKUP("transport|NOx|Non-fatal heart attacks", US_national_yearly!$D:$AM, 25, FALSE) / VLOOKUP("transport|NOx|Non-fatal heart attacks", US_national_yearly!$D:$AM, 10, FALSE), 1)</f>
        <v>8.0551371466647508E-4</v>
      </c>
      <c r="R13" s="7">
        <f>$B13 * IFERROR(VLOOKUP("transport|NOx|Non-fatal heart attacks", US_national_yearly!$D:$AM, 26, FALSE) / VLOOKUP("transport|NOx|Non-fatal heart attacks", US_national_yearly!$D:$AM, 10, FALSE), 1)</f>
        <v>8.1322453724257527E-4</v>
      </c>
      <c r="S13" s="7">
        <f>$B13 * IFERROR(VLOOKUP("transport|NOx|Non-fatal heart attacks", US_national_yearly!$D:$AM, 27, FALSE) / VLOOKUP("transport|NOx|Non-fatal heart attacks", US_national_yearly!$D:$AM, 10, FALSE), 1)</f>
        <v>8.1672221969401177E-4</v>
      </c>
      <c r="T13" s="7">
        <f>$B13 * IFERROR(VLOOKUP("transport|NOx|Non-fatal heart attacks", US_national_yearly!$D:$AM, 28, FALSE) / VLOOKUP("transport|NOx|Non-fatal heart attacks", US_national_yearly!$D:$AM, 10, FALSE), 1)</f>
        <v>8.2021990214544826E-4</v>
      </c>
      <c r="U13" s="7">
        <f>$B13 * IFERROR(VLOOKUP("transport|NOx|Non-fatal heart attacks", US_national_yearly!$D:$AM, 29, FALSE) / VLOOKUP("transport|NOx|Non-fatal heart attacks", US_national_yearly!$D:$AM, 10, FALSE), 1)</f>
        <v>8.2371758459688475E-4</v>
      </c>
      <c r="V13" s="7">
        <f>$B13 * IFERROR(VLOOKUP("transport|NOx|Non-fatal heart attacks", US_national_yearly!$D:$AM, 30, FALSE) / VLOOKUP("transport|NOx|Non-fatal heart attacks", US_national_yearly!$D:$AM, 10, FALSE), 1)</f>
        <v>8.2721526704832124E-4</v>
      </c>
      <c r="W13" s="7">
        <f>$B13 * IFERROR(VLOOKUP("transport|NOx|Non-fatal heart attacks", US_national_yearly!$D:$AM, 31, FALSE) / VLOOKUP("transport|NOx|Non-fatal heart attacks", US_national_yearly!$D:$AM, 10, FALSE), 1)</f>
        <v>8.3071294949975773E-4</v>
      </c>
      <c r="X13" s="7">
        <f>$B13 * IFERROR(VLOOKUP("transport|NOx|Non-fatal heart attacks", US_national_yearly!$D:$AM, 32, FALSE) / VLOOKUP("transport|NOx|Non-fatal heart attacks", US_national_yearly!$D:$AM, 10, FALSE), 1)</f>
        <v>8.3305028495559916E-4</v>
      </c>
      <c r="Y13" s="7">
        <f>$B13 * IFERROR(VLOOKUP("transport|NOx|Non-fatal heart attacks", US_national_yearly!$D:$AM, 33, FALSE) / VLOOKUP("transport|NOx|Non-fatal heart attacks", US_national_yearly!$D:$AM, 10, FALSE), 1)</f>
        <v>8.3538762041144069E-4</v>
      </c>
      <c r="Z13" s="7">
        <f>$B13 * IFERROR(VLOOKUP("transport|NOx|Non-fatal heart attacks", US_national_yearly!$D:$AM, 34, FALSE) / VLOOKUP("transport|NOx|Non-fatal heart attacks", US_national_yearly!$D:$AM, 10, FALSE), 1)</f>
        <v>8.377249558672819E-4</v>
      </c>
      <c r="AA13" s="7">
        <f>$B13 * IFERROR(VLOOKUP("transport|NOx|Non-fatal heart attacks", US_national_yearly!$D:$AM, 35, FALSE) / VLOOKUP("transport|NOx|Non-fatal heart attacks", US_national_yearly!$D:$AM, 10, FALSE), 1)</f>
        <v>8.4006229132312332E-4</v>
      </c>
      <c r="AB13" s="7">
        <f>$B13 * IFERROR(VLOOKUP("transport|NOx|Non-fatal heart attacks", US_national_yearly!$D:$AM, 36, FALSE) / VLOOKUP("transport|NOx|Non-fatal heart attacks", US_national_yearly!$D:$AM, 10, FALSE), 1)</f>
        <v>8.4239962677896474E-4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0.4696835016791438</v>
      </c>
      <c r="C14" s="7">
        <f>$B14 * IFERROR(VLOOKUP("transport|NOx|Minor restricted activity days", US_national_yearly!$D:$AM, 11, FALSE) / VLOOKUP("transport|NOx|Minor restricted activity days", US_national_yearly!$D:$AM, 10, FALSE), 1)</f>
        <v>0.47040360530885611</v>
      </c>
      <c r="D14" s="7">
        <f>$B14 * IFERROR(VLOOKUP("transport|NOx|Minor restricted activity days", US_national_yearly!$D:$AM, 12, FALSE) / VLOOKUP("transport|NOx|Minor restricted activity days", US_national_yearly!$D:$AM, 10, FALSE), 1)</f>
        <v>0.47112370893856853</v>
      </c>
      <c r="E14" s="7">
        <f>$B14 * IFERROR(VLOOKUP("transport|NOx|Minor restricted activity days", US_national_yearly!$D:$AM, 13, FALSE) / VLOOKUP("transport|NOx|Minor restricted activity days", US_national_yearly!$D:$AM, 10, FALSE), 1)</f>
        <v>0.47184381256828095</v>
      </c>
      <c r="F14" s="7">
        <f>$B14 * IFERROR(VLOOKUP("transport|NOx|Minor restricted activity days", US_national_yearly!$D:$AM, 14, FALSE) / VLOOKUP("transport|NOx|Minor restricted activity days", US_national_yearly!$D:$AM, 10, FALSE), 1)</f>
        <v>0.47256391619799326</v>
      </c>
      <c r="G14" s="7">
        <f>$B14 * IFERROR(VLOOKUP("transport|NOx|Minor restricted activity days", US_national_yearly!$D:$AM, 15, FALSE) / VLOOKUP("transport|NOx|Minor restricted activity days", US_national_yearly!$D:$AM, 10, FALSE), 1)</f>
        <v>0.47386425195386178</v>
      </c>
      <c r="H14" s="7">
        <f>$B14 * IFERROR(VLOOKUP("transport|NOx|Minor restricted activity days", US_national_yearly!$D:$AM, 16, FALSE) / VLOOKUP("transport|NOx|Minor restricted activity days", US_national_yearly!$D:$AM, 10, FALSE), 1)</f>
        <v>0.47516458770973019</v>
      </c>
      <c r="I14" s="7">
        <f>$B14 * IFERROR(VLOOKUP("transport|NOx|Minor restricted activity days", US_national_yearly!$D:$AM, 17, FALSE) / VLOOKUP("transport|NOx|Minor restricted activity days", US_national_yearly!$D:$AM, 10, FALSE), 1)</f>
        <v>0.47770799302761247</v>
      </c>
      <c r="J14" s="7">
        <f>$B14 * IFERROR(VLOOKUP("transport|NOx|Minor restricted activity days", US_national_yearly!$D:$AM, 18, FALSE) / VLOOKUP("transport|NOx|Minor restricted activity days", US_national_yearly!$D:$AM, 10, FALSE), 1)</f>
        <v>0.48025139834549463</v>
      </c>
      <c r="K14" s="7">
        <f>$B14 * IFERROR(VLOOKUP("transport|NOx|Minor restricted activity days", US_national_yearly!$D:$AM, 19, FALSE) / VLOOKUP("transport|NOx|Minor restricted activity days", US_national_yearly!$D:$AM, 10, FALSE), 1)</f>
        <v>0.48279480366337685</v>
      </c>
      <c r="L14" s="7">
        <f>$B14 * IFERROR(VLOOKUP("transport|NOx|Minor restricted activity days", US_national_yearly!$D:$AM, 20, FALSE) / VLOOKUP("transport|NOx|Minor restricted activity days", US_national_yearly!$D:$AM, 10, FALSE), 1)</f>
        <v>0.48533820898125901</v>
      </c>
      <c r="M14" s="7">
        <f>$B14 * IFERROR(VLOOKUP("transport|NOx|Minor restricted activity days", US_national_yearly!$D:$AM, 21, FALSE) / VLOOKUP("transport|NOx|Minor restricted activity days", US_national_yearly!$D:$AM, 10, FALSE), 1)</f>
        <v>0.48788161429914129</v>
      </c>
      <c r="N14" s="7">
        <f>$B14 * IFERROR(VLOOKUP("transport|NOx|Minor restricted activity days", US_national_yearly!$D:$AM, 22, FALSE) / VLOOKUP("transport|NOx|Minor restricted activity days", US_national_yearly!$D:$AM, 10, FALSE), 1)</f>
        <v>0.49152319400968386</v>
      </c>
      <c r="O14" s="7">
        <f>$B14 * IFERROR(VLOOKUP("transport|NOx|Minor restricted activity days", US_national_yearly!$D:$AM, 23, FALSE) / VLOOKUP("transport|NOx|Minor restricted activity days", US_national_yearly!$D:$AM, 10, FALSE), 1)</f>
        <v>0.49516477372022649</v>
      </c>
      <c r="P14" s="7">
        <f>$B14 * IFERROR(VLOOKUP("transport|NOx|Minor restricted activity days", US_national_yearly!$D:$AM, 24, FALSE) / VLOOKUP("transport|NOx|Minor restricted activity days", US_national_yearly!$D:$AM, 10, FALSE), 1)</f>
        <v>0.49880635343076912</v>
      </c>
      <c r="Q14" s="7">
        <f>$B14 * IFERROR(VLOOKUP("transport|NOx|Minor restricted activity days", US_national_yearly!$D:$AM, 25, FALSE) / VLOOKUP("transport|NOx|Minor restricted activity days", US_national_yearly!$D:$AM, 10, FALSE), 1)</f>
        <v>0.50244793314131175</v>
      </c>
      <c r="R14" s="7">
        <f>$B14 * IFERROR(VLOOKUP("transport|NOx|Minor restricted activity days", US_national_yearly!$D:$AM, 26, FALSE) / VLOOKUP("transport|NOx|Minor restricted activity days", US_national_yearly!$D:$AM, 10, FALSE), 1)</f>
        <v>0.50608951285185433</v>
      </c>
      <c r="S14" s="7">
        <f>$B14 * IFERROR(VLOOKUP("transport|NOx|Minor restricted activity days", US_national_yearly!$D:$AM, 27, FALSE) / VLOOKUP("transport|NOx|Minor restricted activity days", US_national_yearly!$D:$AM, 10, FALSE), 1)</f>
        <v>0.50973032692805709</v>
      </c>
      <c r="T14" s="7">
        <f>$B14 * IFERROR(VLOOKUP("transport|NOx|Minor restricted activity days", US_national_yearly!$D:$AM, 28, FALSE) / VLOOKUP("transport|NOx|Minor restricted activity days", US_national_yearly!$D:$AM, 10, FALSE), 1)</f>
        <v>0.51337114100425973</v>
      </c>
      <c r="U14" s="7">
        <f>$B14 * IFERROR(VLOOKUP("transport|NOx|Minor restricted activity days", US_national_yearly!$D:$AM, 29, FALSE) / VLOOKUP("transport|NOx|Minor restricted activity days", US_national_yearly!$D:$AM, 10, FALSE), 1)</f>
        <v>0.51701195508046238</v>
      </c>
      <c r="V14" s="7">
        <f>$B14 * IFERROR(VLOOKUP("transport|NOx|Minor restricted activity days", US_national_yearly!$D:$AM, 30, FALSE) / VLOOKUP("transport|NOx|Minor restricted activity days", US_national_yearly!$D:$AM, 10, FALSE), 1)</f>
        <v>0.52065276915666514</v>
      </c>
      <c r="W14" s="7">
        <f>$B14 * IFERROR(VLOOKUP("transport|NOx|Minor restricted activity days", US_national_yearly!$D:$AM, 31, FALSE) / VLOOKUP("transport|NOx|Minor restricted activity days", US_national_yearly!$D:$AM, 10, FALSE), 1)</f>
        <v>0.52429358323286779</v>
      </c>
      <c r="X14" s="7">
        <f>$B14 * IFERROR(VLOOKUP("transport|NOx|Minor restricted activity days", US_national_yearly!$D:$AM, 32, FALSE) / VLOOKUP("transport|NOx|Minor restricted activity days", US_national_yearly!$D:$AM, 10, FALSE), 1)</f>
        <v>0.52737175283446347</v>
      </c>
      <c r="Y14" s="7">
        <f>$B14 * IFERROR(VLOOKUP("transport|NOx|Minor restricted activity days", US_national_yearly!$D:$AM, 33, FALSE) / VLOOKUP("transport|NOx|Minor restricted activity days", US_national_yearly!$D:$AM, 10, FALSE), 1)</f>
        <v>0.53044992243605926</v>
      </c>
      <c r="Z14" s="7">
        <f>$B14 * IFERROR(VLOOKUP("transport|NOx|Minor restricted activity days", US_national_yearly!$D:$AM, 34, FALSE) / VLOOKUP("transport|NOx|Minor restricted activity days", US_national_yearly!$D:$AM, 10, FALSE), 1)</f>
        <v>0.53352809203765494</v>
      </c>
      <c r="AA14" s="7">
        <f>$B14 * IFERROR(VLOOKUP("transport|NOx|Minor restricted activity days", US_national_yearly!$D:$AM, 35, FALSE) / VLOOKUP("transport|NOx|Minor restricted activity days", US_national_yearly!$D:$AM, 10, FALSE), 1)</f>
        <v>0.53660626163925074</v>
      </c>
      <c r="AB14" s="7">
        <f>$B14 * IFERROR(VLOOKUP("transport|NOx|Minor restricted activity days", US_national_yearly!$D:$AM, 36, FALSE) / VLOOKUP("transport|NOx|Minor restricted activity days", US_national_yearly!$D:$AM, 10, FALSE), 1)</f>
        <v>0.53968443124084642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7.995881214049981E-2</v>
      </c>
      <c r="C15" s="7">
        <f>$B15 * IFERROR(VLOOKUP("transport|NOx|Work loss days", US_national_yearly!$D:$AM, 11, FALSE) / VLOOKUP("transport|NOx|Work loss days", US_national_yearly!$D:$AM, 10, FALSE), 1)</f>
        <v>8.0136676216593983E-2</v>
      </c>
      <c r="D15" s="7">
        <f>$B15 * IFERROR(VLOOKUP("transport|NOx|Work loss days", US_national_yearly!$D:$AM, 12, FALSE) / VLOOKUP("transport|NOx|Work loss days", US_national_yearly!$D:$AM, 10, FALSE), 1)</f>
        <v>8.0314540292688169E-2</v>
      </c>
      <c r="E15" s="7">
        <f>$B15 * IFERROR(VLOOKUP("transport|NOx|Work loss days", US_national_yearly!$D:$AM, 13, FALSE) / VLOOKUP("transport|NOx|Work loss days", US_national_yearly!$D:$AM, 10, FALSE), 1)</f>
        <v>8.0492404368782328E-2</v>
      </c>
      <c r="F15" s="7">
        <f>$B15 * IFERROR(VLOOKUP("transport|NOx|Work loss days", US_national_yearly!$D:$AM, 14, FALSE) / VLOOKUP("transport|NOx|Work loss days", US_national_yearly!$D:$AM, 10, FALSE), 1)</f>
        <v>8.0670268444876514E-2</v>
      </c>
      <c r="G15" s="7">
        <f>$B15 * IFERROR(VLOOKUP("transport|NOx|Work loss days", US_national_yearly!$D:$AM, 15, FALSE) / VLOOKUP("transport|NOx|Work loss days", US_national_yearly!$D:$AM, 10, FALSE), 1)</f>
        <v>8.0929951513233553E-2</v>
      </c>
      <c r="H15" s="7">
        <f>$B15 * IFERROR(VLOOKUP("transport|NOx|Work loss days", US_national_yearly!$D:$AM, 16, FALSE) / VLOOKUP("transport|NOx|Work loss days", US_national_yearly!$D:$AM, 10, FALSE), 1)</f>
        <v>8.1189634581590606E-2</v>
      </c>
      <c r="I15" s="7">
        <f>$B15 * IFERROR(VLOOKUP("transport|NOx|Work loss days", US_national_yearly!$D:$AM, 17, FALSE) / VLOOKUP("transport|NOx|Work loss days", US_national_yearly!$D:$AM, 10, FALSE), 1)</f>
        <v>8.1610307078489153E-2</v>
      </c>
      <c r="J15" s="7">
        <f>$B15 * IFERROR(VLOOKUP("transport|NOx|Work loss days", US_national_yearly!$D:$AM, 18, FALSE) / VLOOKUP("transport|NOx|Work loss days", US_national_yearly!$D:$AM, 10, FALSE), 1)</f>
        <v>8.2030979575387727E-2</v>
      </c>
      <c r="K15" s="7">
        <f>$B15 * IFERROR(VLOOKUP("transport|NOx|Work loss days", US_national_yearly!$D:$AM, 19, FALSE) / VLOOKUP("transport|NOx|Work loss days", US_national_yearly!$D:$AM, 10, FALSE), 1)</f>
        <v>8.2451652072286274E-2</v>
      </c>
      <c r="L15" s="7">
        <f>$B15 * IFERROR(VLOOKUP("transport|NOx|Work loss days", US_national_yearly!$D:$AM, 20, FALSE) / VLOOKUP("transport|NOx|Work loss days", US_national_yearly!$D:$AM, 10, FALSE), 1)</f>
        <v>8.2872324569184835E-2</v>
      </c>
      <c r="M15" s="7">
        <f>$B15 * IFERROR(VLOOKUP("transport|NOx|Work loss days", US_national_yearly!$D:$AM, 21, FALSE) / VLOOKUP("transport|NOx|Work loss days", US_national_yearly!$D:$AM, 10, FALSE), 1)</f>
        <v>8.3292997066083396E-2</v>
      </c>
      <c r="N15" s="7">
        <f>$B15 * IFERROR(VLOOKUP("transport|NOx|Work loss days", US_national_yearly!$D:$AM, 22, FALSE) / VLOOKUP("transport|NOx|Work loss days", US_national_yearly!$D:$AM, 10, FALSE), 1)</f>
        <v>8.384047650718264E-2</v>
      </c>
      <c r="O15" s="7">
        <f>$B15 * IFERROR(VLOOKUP("transport|NOx|Work loss days", US_national_yearly!$D:$AM, 23, FALSE) / VLOOKUP("transport|NOx|Work loss days", US_national_yearly!$D:$AM, 10, FALSE), 1)</f>
        <v>8.4387955948281884E-2</v>
      </c>
      <c r="P15" s="7">
        <f>$B15 * IFERROR(VLOOKUP("transport|NOx|Work loss days", US_national_yearly!$D:$AM, 24, FALSE) / VLOOKUP("transport|NOx|Work loss days", US_national_yearly!$D:$AM, 10, FALSE), 1)</f>
        <v>8.4935435389381128E-2</v>
      </c>
      <c r="Q15" s="7">
        <f>$B15 * IFERROR(VLOOKUP("transport|NOx|Work loss days", US_national_yearly!$D:$AM, 25, FALSE) / VLOOKUP("transport|NOx|Work loss days", US_national_yearly!$D:$AM, 10, FALSE), 1)</f>
        <v>8.5482914830480358E-2</v>
      </c>
      <c r="R15" s="7">
        <f>$B15 * IFERROR(VLOOKUP("transport|NOx|Work loss days", US_national_yearly!$D:$AM, 26, FALSE) / VLOOKUP("transport|NOx|Work loss days", US_national_yearly!$D:$AM, 10, FALSE), 1)</f>
        <v>8.6030394271579616E-2</v>
      </c>
      <c r="S15" s="7">
        <f>$B15 * IFERROR(VLOOKUP("transport|NOx|Work loss days", US_national_yearly!$D:$AM, 27, FALSE) / VLOOKUP("transport|NOx|Work loss days", US_national_yearly!$D:$AM, 10, FALSE), 1)</f>
        <v>8.6640763846586408E-2</v>
      </c>
      <c r="T15" s="7">
        <f>$B15 * IFERROR(VLOOKUP("transport|NOx|Work loss days", US_national_yearly!$D:$AM, 28, FALSE) / VLOOKUP("transport|NOx|Work loss days", US_national_yearly!$D:$AM, 10, FALSE), 1)</f>
        <v>8.7251133421593199E-2</v>
      </c>
      <c r="U15" s="7">
        <f>$B15 * IFERROR(VLOOKUP("transport|NOx|Work loss days", US_national_yearly!$D:$AM, 29, FALSE) / VLOOKUP("transport|NOx|Work loss days", US_national_yearly!$D:$AM, 10, FALSE), 1)</f>
        <v>8.7861502996599977E-2</v>
      </c>
      <c r="V15" s="7">
        <f>$B15 * IFERROR(VLOOKUP("transport|NOx|Work loss days", US_national_yearly!$D:$AM, 30, FALSE) / VLOOKUP("transport|NOx|Work loss days", US_national_yearly!$D:$AM, 10, FALSE), 1)</f>
        <v>8.8471872571606769E-2</v>
      </c>
      <c r="W15" s="7">
        <f>$B15 * IFERROR(VLOOKUP("transport|NOx|Work loss days", US_national_yearly!$D:$AM, 31, FALSE) / VLOOKUP("transport|NOx|Work loss days", US_national_yearly!$D:$AM, 10, FALSE), 1)</f>
        <v>8.9082242146613574E-2</v>
      </c>
      <c r="X15" s="7">
        <f>$B15 * IFERROR(VLOOKUP("transport|NOx|Work loss days", US_national_yearly!$D:$AM, 32, FALSE) / VLOOKUP("transport|NOx|Work loss days", US_national_yearly!$D:$AM, 10, FALSE), 1)</f>
        <v>8.9612010394803182E-2</v>
      </c>
      <c r="Y15" s="7">
        <f>$B15 * IFERROR(VLOOKUP("transport|NOx|Work loss days", US_national_yearly!$D:$AM, 33, FALSE) / VLOOKUP("transport|NOx|Work loss days", US_national_yearly!$D:$AM, 10, FALSE), 1)</f>
        <v>9.014177864299279E-2</v>
      </c>
      <c r="Z15" s="7">
        <f>$B15 * IFERROR(VLOOKUP("transport|NOx|Work loss days", US_national_yearly!$D:$AM, 34, FALSE) / VLOOKUP("transport|NOx|Work loss days", US_national_yearly!$D:$AM, 10, FALSE), 1)</f>
        <v>9.0671546891182397E-2</v>
      </c>
      <c r="AA15" s="7">
        <f>$B15 * IFERROR(VLOOKUP("transport|NOx|Work loss days", US_national_yearly!$D:$AM, 35, FALSE) / VLOOKUP("transport|NOx|Work loss days", US_national_yearly!$D:$AM, 10, FALSE), 1)</f>
        <v>9.1201315139372005E-2</v>
      </c>
      <c r="AB15" s="7">
        <f>$B15 * IFERROR(VLOOKUP("transport|NOx|Work loss days", US_national_yearly!$D:$AM, 36, FALSE) / VLOOKUP("transport|NOx|Work loss days", US_national_yearly!$D:$AM, 10, FALSE), 1)</f>
        <v>9.1731083387561613E-2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1.4202604005440872E-4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1.4619942293556172E-4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1.5037280581671472E-4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1.545461886978677E-4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1.5871957157902072E-4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1.6268359514459767E-4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1.6664761871017467E-4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1.6998105672166755E-4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1.7331449473316041E-4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1.7664793274465329E-4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1.7998137075614614E-4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1.8331480876763906E-4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1.8539931800898009E-4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1.8748382725032118E-4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1.8956833649166224E-4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1.9165284573300332E-4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1.9373735497434436E-4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1.9468845929954251E-4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1.9563956362474066E-4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1.9659066794993875E-4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1.975417722751369E-4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1.9849287660033505E-4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1.9902219913172845E-4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1.9955152166312184E-4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2.0008084419451523E-4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2.0061016672590862E-4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2.0113948925730202E-4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6.4295987192141092E-3</v>
      </c>
      <c r="C2" s="7">
        <f>$B2 * IFERROR(VLOOKUP("transport|SO2|Premature mortality", US_national_yearly!$D:$AM, 11, FALSE) / VLOOKUP("transport|SO2|Premature mortality", US_national_yearly!$D:$AM, 10, FALSE), 1)</f>
        <v>6.5110261081657841E-3</v>
      </c>
      <c r="D2" s="7">
        <f>$B2 * IFERROR(VLOOKUP("transport|SO2|Premature mortality", US_national_yearly!$D:$AM, 12, FALSE) / VLOOKUP("transport|SO2|Premature mortality", US_national_yearly!$D:$AM, 10, FALSE), 1)</f>
        <v>6.5924534971174599E-3</v>
      </c>
      <c r="E2" s="7">
        <f>$B2 * IFERROR(VLOOKUP("transport|SO2|Premature mortality", US_national_yearly!$D:$AM, 13, FALSE) / VLOOKUP("transport|SO2|Premature mortality", US_national_yearly!$D:$AM, 10, FALSE), 1)</f>
        <v>6.6738808860691348E-3</v>
      </c>
      <c r="F2" s="7">
        <f>$B2 * IFERROR(VLOOKUP("transport|SO2|Premature mortality", US_national_yearly!$D:$AM, 14, FALSE) / VLOOKUP("transport|SO2|Premature mortality", US_national_yearly!$D:$AM, 10, FALSE), 1)</f>
        <v>6.7553082750208097E-3</v>
      </c>
      <c r="G2" s="7">
        <f>$B2 * IFERROR(VLOOKUP("transport|SO2|Premature mortality", US_national_yearly!$D:$AM, 15, FALSE) / VLOOKUP("transport|SO2|Premature mortality", US_national_yearly!$D:$AM, 10, FALSE), 1)</f>
        <v>6.9122142387269183E-3</v>
      </c>
      <c r="H2" s="7">
        <f>$B2 * IFERROR(VLOOKUP("transport|SO2|Premature mortality", US_national_yearly!$D:$AM, 16, FALSE) / VLOOKUP("transport|SO2|Premature mortality", US_national_yearly!$D:$AM, 10, FALSE), 1)</f>
        <v>7.0691202024330251E-3</v>
      </c>
      <c r="I2" s="7">
        <f>$B2 * IFERROR(VLOOKUP("transport|SO2|Premature mortality", US_national_yearly!$D:$AM, 17, FALSE) / VLOOKUP("transport|SO2|Premature mortality", US_national_yearly!$D:$AM, 10, FALSE), 1)</f>
        <v>7.1728132775090896E-3</v>
      </c>
      <c r="J2" s="7">
        <f>$B2 * IFERROR(VLOOKUP("transport|SO2|Premature mortality", US_national_yearly!$D:$AM, 18, FALSE) / VLOOKUP("transport|SO2|Premature mortality", US_national_yearly!$D:$AM, 10, FALSE), 1)</f>
        <v>7.2765063525851532E-3</v>
      </c>
      <c r="K2" s="7">
        <f>$B2 * IFERROR(VLOOKUP("transport|SO2|Premature mortality", US_national_yearly!$D:$AM, 19, FALSE) / VLOOKUP("transport|SO2|Premature mortality", US_national_yearly!$D:$AM, 10, FALSE), 1)</f>
        <v>7.3801994276612168E-3</v>
      </c>
      <c r="L2" s="7">
        <f>$B2 * IFERROR(VLOOKUP("transport|SO2|Premature mortality", US_national_yearly!$D:$AM, 20, FALSE) / VLOOKUP("transport|SO2|Premature mortality", US_national_yearly!$D:$AM, 10, FALSE), 1)</f>
        <v>7.4838925027372804E-3</v>
      </c>
      <c r="M2" s="7">
        <f>$B2 * IFERROR(VLOOKUP("transport|SO2|Premature mortality", US_national_yearly!$D:$AM, 21, FALSE) / VLOOKUP("transport|SO2|Premature mortality", US_national_yearly!$D:$AM, 10, FALSE), 1)</f>
        <v>7.5875855778133449E-3</v>
      </c>
      <c r="N2" s="7">
        <f>$B2 * IFERROR(VLOOKUP("transport|SO2|Premature mortality", US_national_yearly!$D:$AM, 22, FALSE) / VLOOKUP("transport|SO2|Premature mortality", US_national_yearly!$D:$AM, 10, FALSE), 1)</f>
        <v>7.6686057220826474E-3</v>
      </c>
      <c r="O2" s="7">
        <f>$B2 * IFERROR(VLOOKUP("transport|SO2|Premature mortality", US_national_yearly!$D:$AM, 23, FALSE) / VLOOKUP("transport|SO2|Premature mortality", US_national_yearly!$D:$AM, 10, FALSE), 1)</f>
        <v>7.749625866351949E-3</v>
      </c>
      <c r="P2" s="7">
        <f>$B2 * IFERROR(VLOOKUP("transport|SO2|Premature mortality", US_national_yearly!$D:$AM, 24, FALSE) / VLOOKUP("transport|SO2|Premature mortality", US_national_yearly!$D:$AM, 10, FALSE), 1)</f>
        <v>7.8306460106212505E-3</v>
      </c>
      <c r="Q2" s="7">
        <f>$B2 * IFERROR(VLOOKUP("transport|SO2|Premature mortality", US_national_yearly!$D:$AM, 25, FALSE) / VLOOKUP("transport|SO2|Premature mortality", US_national_yearly!$D:$AM, 10, FALSE), 1)</f>
        <v>7.911666154890553E-3</v>
      </c>
      <c r="R2" s="7">
        <f>$B2 * IFERROR(VLOOKUP("transport|SO2|Premature mortality", US_national_yearly!$D:$AM, 26, FALSE) / VLOOKUP("transport|SO2|Premature mortality", US_national_yearly!$D:$AM, 10, FALSE), 1)</f>
        <v>7.9926862991598537E-3</v>
      </c>
      <c r="S2" s="7">
        <f>$B2 * IFERROR(VLOOKUP("transport|SO2|Premature mortality", US_national_yearly!$D:$AM, 27, FALSE) / VLOOKUP("transport|SO2|Premature mortality", US_national_yearly!$D:$AM, 10, FALSE), 1)</f>
        <v>8.0360736652154291E-3</v>
      </c>
      <c r="T2" s="7">
        <f>$B2 * IFERROR(VLOOKUP("transport|SO2|Premature mortality", US_national_yearly!$D:$AM, 28, FALSE) / VLOOKUP("transport|SO2|Premature mortality", US_national_yearly!$D:$AM, 10, FALSE), 1)</f>
        <v>8.0794610312710045E-3</v>
      </c>
      <c r="U2" s="7">
        <f>$B2 * IFERROR(VLOOKUP("transport|SO2|Premature mortality", US_national_yearly!$D:$AM, 29, FALSE) / VLOOKUP("transport|SO2|Premature mortality", US_national_yearly!$D:$AM, 10, FALSE), 1)</f>
        <v>8.1228483973265781E-3</v>
      </c>
      <c r="V2" s="7">
        <f>$B2 * IFERROR(VLOOKUP("transport|SO2|Premature mortality", US_national_yearly!$D:$AM, 30, FALSE) / VLOOKUP("transport|SO2|Premature mortality", US_national_yearly!$D:$AM, 10, FALSE), 1)</f>
        <v>8.1662357633821517E-3</v>
      </c>
      <c r="W2" s="7">
        <f>$B2 * IFERROR(VLOOKUP("transport|SO2|Premature mortality", US_national_yearly!$D:$AM, 31, FALSE) / VLOOKUP("transport|SO2|Premature mortality", US_national_yearly!$D:$AM, 10, FALSE), 1)</f>
        <v>8.2096231294377271E-3</v>
      </c>
      <c r="X2" s="7">
        <f>$B2 * IFERROR(VLOOKUP("transport|SO2|Premature mortality", US_national_yearly!$D:$AM, 32, FALSE) / VLOOKUP("transport|SO2|Premature mortality", US_national_yearly!$D:$AM, 10, FALSE), 1)</f>
        <v>8.2184374055638901E-3</v>
      </c>
      <c r="Y2" s="7">
        <f>$B2 * IFERROR(VLOOKUP("transport|SO2|Premature mortality", US_national_yearly!$D:$AM, 33, FALSE) / VLOOKUP("transport|SO2|Premature mortality", US_national_yearly!$D:$AM, 10, FALSE), 1)</f>
        <v>8.227251681690053E-3</v>
      </c>
      <c r="Z2" s="7">
        <f>$B2 * IFERROR(VLOOKUP("transport|SO2|Premature mortality", US_national_yearly!$D:$AM, 34, FALSE) / VLOOKUP("transport|SO2|Premature mortality", US_national_yearly!$D:$AM, 10, FALSE), 1)</f>
        <v>8.236065957816216E-3</v>
      </c>
      <c r="AA2" s="7">
        <f>$B2 * IFERROR(VLOOKUP("transport|SO2|Premature mortality", US_national_yearly!$D:$AM, 35, FALSE) / VLOOKUP("transport|SO2|Premature mortality", US_national_yearly!$D:$AM, 10, FALSE), 1)</f>
        <v>8.2448802339423807E-3</v>
      </c>
      <c r="AB2" s="7">
        <f>$B2 * IFERROR(VLOOKUP("transport|SO2|Premature mortality", US_national_yearly!$D:$AM, 36, FALSE) / VLOOKUP("transport|SO2|Premature mortality", US_national_yearly!$D:$AM, 10, FALSE), 1)</f>
        <v>8.2536945100685419E-3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1.2744885225704793E-5</v>
      </c>
      <c r="C3" s="7">
        <f>$B3 * IFERROR(VLOOKUP("transport|SO2|Infant mortality", US_national_yearly!$D:$AM, 11, FALSE) / VLOOKUP("transport|SO2|Infant mortality", US_national_yearly!$D:$AM, 10, FALSE), 1)</f>
        <v>1.2635404336877922E-5</v>
      </c>
      <c r="D3" s="7">
        <f>$B3 * IFERROR(VLOOKUP("transport|SO2|Infant mortality", US_national_yearly!$D:$AM, 12, FALSE) / VLOOKUP("transport|SO2|Infant mortality", US_national_yearly!$D:$AM, 10, FALSE), 1)</f>
        <v>1.2525923448051053E-5</v>
      </c>
      <c r="E3" s="7">
        <f>$B3 * IFERROR(VLOOKUP("transport|SO2|Infant mortality", US_national_yearly!$D:$AM, 13, FALSE) / VLOOKUP("transport|SO2|Infant mortality", US_national_yearly!$D:$AM, 10, FALSE), 1)</f>
        <v>1.2416442559224181E-5</v>
      </c>
      <c r="F3" s="7">
        <f>$B3 * IFERROR(VLOOKUP("transport|SO2|Infant mortality", US_national_yearly!$D:$AM, 14, FALSE) / VLOOKUP("transport|SO2|Infant mortality", US_national_yearly!$D:$AM, 10, FALSE), 1)</f>
        <v>1.2306961670397312E-5</v>
      </c>
      <c r="G3" s="7">
        <f>$B3 * IFERROR(VLOOKUP("transport|SO2|Infant mortality", US_national_yearly!$D:$AM, 15, FALSE) / VLOOKUP("transport|SO2|Infant mortality", US_national_yearly!$D:$AM, 10, FALSE), 1)</f>
        <v>8.1974276946310467E-6</v>
      </c>
      <c r="H3" s="7">
        <f>$B3 * IFERROR(VLOOKUP("transport|SO2|Infant mortality", US_national_yearly!$D:$AM, 16, FALSE) / VLOOKUP("transport|SO2|Infant mortality", US_national_yearly!$D:$AM, 10, FALSE), 1)</f>
        <v>4.0878937188647873E-6</v>
      </c>
      <c r="I3" s="7">
        <f>$B3 * IFERROR(VLOOKUP("transport|SO2|Infant mortality", US_national_yearly!$D:$AM, 17, FALSE) / VLOOKUP("transport|SO2|Infant mortality", US_national_yearly!$D:$AM, 10, FALSE), 1)</f>
        <v>4.0622491271284312E-6</v>
      </c>
      <c r="J3" s="7">
        <f>$B3 * IFERROR(VLOOKUP("transport|SO2|Infant mortality", US_national_yearly!$D:$AM, 18, FALSE) / VLOOKUP("transport|SO2|Infant mortality", US_national_yearly!$D:$AM, 10, FALSE), 1)</f>
        <v>4.0366045353920751E-6</v>
      </c>
      <c r="K3" s="7">
        <f>$B3 * IFERROR(VLOOKUP("transport|SO2|Infant mortality", US_national_yearly!$D:$AM, 19, FALSE) / VLOOKUP("transport|SO2|Infant mortality", US_national_yearly!$D:$AM, 10, FALSE), 1)</f>
        <v>4.0109599436557181E-6</v>
      </c>
      <c r="L3" s="7">
        <f>$B3 * IFERROR(VLOOKUP("transport|SO2|Infant mortality", US_national_yearly!$D:$AM, 20, FALSE) / VLOOKUP("transport|SO2|Infant mortality", US_national_yearly!$D:$AM, 10, FALSE), 1)</f>
        <v>3.9853153519193629E-6</v>
      </c>
      <c r="M3" s="7">
        <f>$B3 * IFERROR(VLOOKUP("transport|SO2|Infant mortality", US_national_yearly!$D:$AM, 21, FALSE) / VLOOKUP("transport|SO2|Infant mortality", US_national_yearly!$D:$AM, 10, FALSE), 1)</f>
        <v>3.9596707601830068E-6</v>
      </c>
      <c r="N3" s="7">
        <f>$B3 * IFERROR(VLOOKUP("transport|SO2|Infant mortality", US_national_yearly!$D:$AM, 22, FALSE) / VLOOKUP("transport|SO2|Infant mortality", US_national_yearly!$D:$AM, 10, FALSE), 1)</f>
        <v>3.943573841942492E-6</v>
      </c>
      <c r="O3" s="7">
        <f>$B3 * IFERROR(VLOOKUP("transport|SO2|Infant mortality", US_national_yearly!$D:$AM, 23, FALSE) / VLOOKUP("transport|SO2|Infant mortality", US_national_yearly!$D:$AM, 10, FALSE), 1)</f>
        <v>3.927476923701978E-6</v>
      </c>
      <c r="P3" s="7">
        <f>$B3 * IFERROR(VLOOKUP("transport|SO2|Infant mortality", US_national_yearly!$D:$AM, 24, FALSE) / VLOOKUP("transport|SO2|Infant mortality", US_national_yearly!$D:$AM, 10, FALSE), 1)</f>
        <v>3.9113800054614624E-6</v>
      </c>
      <c r="Q3" s="7">
        <f>$B3 * IFERROR(VLOOKUP("transport|SO2|Infant mortality", US_national_yearly!$D:$AM, 25, FALSE) / VLOOKUP("transport|SO2|Infant mortality", US_national_yearly!$D:$AM, 10, FALSE), 1)</f>
        <v>3.8952830872209476E-6</v>
      </c>
      <c r="R3" s="7">
        <f>$B3 * IFERROR(VLOOKUP("transport|SO2|Infant mortality", US_national_yearly!$D:$AM, 26, FALSE) / VLOOKUP("transport|SO2|Infant mortality", US_national_yearly!$D:$AM, 10, FALSE), 1)</f>
        <v>3.8791861689804329E-6</v>
      </c>
      <c r="S3" s="7">
        <f>$B3 * IFERROR(VLOOKUP("transport|SO2|Infant mortality", US_national_yearly!$D:$AM, 27, FALSE) / VLOOKUP("transport|SO2|Infant mortality", US_national_yearly!$D:$AM, 10, FALSE), 1)</f>
        <v>3.8589755074842157E-6</v>
      </c>
      <c r="T3" s="7">
        <f>$B3 * IFERROR(VLOOKUP("transport|SO2|Infant mortality", US_national_yearly!$D:$AM, 28, FALSE) / VLOOKUP("transport|SO2|Infant mortality", US_national_yearly!$D:$AM, 10, FALSE), 1)</f>
        <v>3.8387648459879994E-6</v>
      </c>
      <c r="U3" s="7">
        <f>$B3 * IFERROR(VLOOKUP("transport|SO2|Infant mortality", US_national_yearly!$D:$AM, 29, FALSE) / VLOOKUP("transport|SO2|Infant mortality", US_national_yearly!$D:$AM, 10, FALSE), 1)</f>
        <v>3.8185541844917814E-6</v>
      </c>
      <c r="V3" s="7">
        <f>$B3 * IFERROR(VLOOKUP("transport|SO2|Infant mortality", US_national_yearly!$D:$AM, 30, FALSE) / VLOOKUP("transport|SO2|Infant mortality", US_national_yearly!$D:$AM, 10, FALSE), 1)</f>
        <v>3.7983435229955651E-6</v>
      </c>
      <c r="W3" s="7">
        <f>$B3 * IFERROR(VLOOKUP("transport|SO2|Infant mortality", US_national_yearly!$D:$AM, 31, FALSE) / VLOOKUP("transport|SO2|Infant mortality", US_national_yearly!$D:$AM, 10, FALSE), 1)</f>
        <v>3.7781328614993475E-6</v>
      </c>
      <c r="X3" s="7">
        <f>$B3 * IFERROR(VLOOKUP("transport|SO2|Infant mortality", US_national_yearly!$D:$AM, 32, FALSE) / VLOOKUP("transport|SO2|Infant mortality", US_national_yearly!$D:$AM, 10, FALSE), 1)</f>
        <v>3.7560363700172262E-6</v>
      </c>
      <c r="Y3" s="7">
        <f>$B3 * IFERROR(VLOOKUP("transport|SO2|Infant mortality", US_national_yearly!$D:$AM, 33, FALSE) / VLOOKUP("transport|SO2|Infant mortality", US_national_yearly!$D:$AM, 10, FALSE), 1)</f>
        <v>3.7339398785351033E-6</v>
      </c>
      <c r="Z3" s="7">
        <f>$B3 * IFERROR(VLOOKUP("transport|SO2|Infant mortality", US_national_yearly!$D:$AM, 34, FALSE) / VLOOKUP("transport|SO2|Infant mortality", US_national_yearly!$D:$AM, 10, FALSE), 1)</f>
        <v>3.711843387052982E-6</v>
      </c>
      <c r="AA3" s="7">
        <f>$B3 * IFERROR(VLOOKUP("transport|SO2|Infant mortality", US_national_yearly!$D:$AM, 35, FALSE) / VLOOKUP("transport|SO2|Infant mortality", US_national_yearly!$D:$AM, 10, FALSE), 1)</f>
        <v>3.6897468955708591E-6</v>
      </c>
      <c r="AB3" s="7">
        <f>$B3 * IFERROR(VLOOKUP("transport|SO2|Infant mortality", US_national_yearly!$D:$AM, 36, FALSE) / VLOOKUP("transport|SO2|Infant mortality", US_national_yearly!$D:$AM, 10, FALSE), 1)</f>
        <v>3.6676504040887379E-6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1.6953432515015208E-2</v>
      </c>
      <c r="C6" s="7">
        <f>$B6 * IFERROR(VLOOKUP("transport|SO2|Asthma symptoms cough", US_national_yearly!$D:$AM, 11, FALSE) / VLOOKUP("transport|SO2|Asthma symptoms cough", US_national_yearly!$D:$AM, 10, FALSE), 1)</f>
        <v>1.6953432515015208E-2</v>
      </c>
      <c r="D6" s="7">
        <f>$B6 * IFERROR(VLOOKUP("transport|SO2|Asthma symptoms cough", US_national_yearly!$D:$AM, 12, FALSE) / VLOOKUP("transport|SO2|Asthma symptoms cough", US_national_yearly!$D:$AM, 10, FALSE), 1)</f>
        <v>1.6953432515015208E-2</v>
      </c>
      <c r="E6" s="7">
        <f>$B6 * IFERROR(VLOOKUP("transport|SO2|Asthma symptoms cough", US_national_yearly!$D:$AM, 13, FALSE) / VLOOKUP("transport|SO2|Asthma symptoms cough", US_national_yearly!$D:$AM, 10, FALSE), 1)</f>
        <v>1.6953432515015208E-2</v>
      </c>
      <c r="F6" s="7">
        <f>$B6 * IFERROR(VLOOKUP("transport|SO2|Asthma symptoms cough", US_national_yearly!$D:$AM, 14, FALSE) / VLOOKUP("transport|SO2|Asthma symptoms cough", US_national_yearly!$D:$AM, 10, FALSE), 1)</f>
        <v>1.6953432515015208E-2</v>
      </c>
      <c r="G6" s="7">
        <f>$B6 * IFERROR(VLOOKUP("transport|SO2|Asthma symptoms cough", US_national_yearly!$D:$AM, 15, FALSE) / VLOOKUP("transport|SO2|Asthma symptoms cough", US_national_yearly!$D:$AM, 10, FALSE), 1)</f>
        <v>1.6953432515015208E-2</v>
      </c>
      <c r="H6" s="7">
        <f>$B6 * IFERROR(VLOOKUP("transport|SO2|Asthma symptoms cough", US_national_yearly!$D:$AM, 16, FALSE) / VLOOKUP("transport|SO2|Asthma symptoms cough", US_national_yearly!$D:$AM, 10, FALSE), 1)</f>
        <v>1.6953432515015208E-2</v>
      </c>
      <c r="I6" s="7">
        <f>$B6 * IFERROR(VLOOKUP("transport|SO2|Asthma symptoms cough", US_national_yearly!$D:$AM, 17, FALSE) / VLOOKUP("transport|SO2|Asthma symptoms cough", US_national_yearly!$D:$AM, 10, FALSE), 1)</f>
        <v>1.6953432515015208E-2</v>
      </c>
      <c r="J6" s="7">
        <f>$B6 * IFERROR(VLOOKUP("transport|SO2|Asthma symptoms cough", US_national_yearly!$D:$AM, 18, FALSE) / VLOOKUP("transport|SO2|Asthma symptoms cough", US_national_yearly!$D:$AM, 10, FALSE), 1)</f>
        <v>1.6953432515015208E-2</v>
      </c>
      <c r="K6" s="7">
        <f>$B6 * IFERROR(VLOOKUP("transport|SO2|Asthma symptoms cough", US_national_yearly!$D:$AM, 19, FALSE) / VLOOKUP("transport|SO2|Asthma symptoms cough", US_national_yearly!$D:$AM, 10, FALSE), 1)</f>
        <v>1.6953432515015208E-2</v>
      </c>
      <c r="L6" s="7">
        <f>$B6 * IFERROR(VLOOKUP("transport|SO2|Asthma symptoms cough", US_national_yearly!$D:$AM, 20, FALSE) / VLOOKUP("transport|SO2|Asthma symptoms cough", US_national_yearly!$D:$AM, 10, FALSE), 1)</f>
        <v>1.6953432515015208E-2</v>
      </c>
      <c r="M6" s="7">
        <f>$B6 * IFERROR(VLOOKUP("transport|SO2|Asthma symptoms cough", US_national_yearly!$D:$AM, 21, FALSE) / VLOOKUP("transport|SO2|Asthma symptoms cough", US_national_yearly!$D:$AM, 10, FALSE), 1)</f>
        <v>1.6953432515015208E-2</v>
      </c>
      <c r="N6" s="7">
        <f>$B6 * IFERROR(VLOOKUP("transport|SO2|Asthma symptoms cough", US_national_yearly!$D:$AM, 22, FALSE) / VLOOKUP("transport|SO2|Asthma symptoms cough", US_national_yearly!$D:$AM, 10, FALSE), 1)</f>
        <v>1.6953432515015208E-2</v>
      </c>
      <c r="O6" s="7">
        <f>$B6 * IFERROR(VLOOKUP("transport|SO2|Asthma symptoms cough", US_national_yearly!$D:$AM, 23, FALSE) / VLOOKUP("transport|SO2|Asthma symptoms cough", US_national_yearly!$D:$AM, 10, FALSE), 1)</f>
        <v>1.6953432515015208E-2</v>
      </c>
      <c r="P6" s="7">
        <f>$B6 * IFERROR(VLOOKUP("transport|SO2|Asthma symptoms cough", US_national_yearly!$D:$AM, 24, FALSE) / VLOOKUP("transport|SO2|Asthma symptoms cough", US_national_yearly!$D:$AM, 10, FALSE), 1)</f>
        <v>1.6953432515015208E-2</v>
      </c>
      <c r="Q6" s="7">
        <f>$B6 * IFERROR(VLOOKUP("transport|SO2|Asthma symptoms cough", US_national_yearly!$D:$AM, 25, FALSE) / VLOOKUP("transport|SO2|Asthma symptoms cough", US_national_yearly!$D:$AM, 10, FALSE), 1)</f>
        <v>1.6953432515015208E-2</v>
      </c>
      <c r="R6" s="7">
        <f>$B6 * IFERROR(VLOOKUP("transport|SO2|Asthma symptoms cough", US_national_yearly!$D:$AM, 26, FALSE) / VLOOKUP("transport|SO2|Asthma symptoms cough", US_national_yearly!$D:$AM, 10, FALSE), 1)</f>
        <v>1.6953432515015208E-2</v>
      </c>
      <c r="S6" s="7">
        <f>$B6 * IFERROR(VLOOKUP("transport|SO2|Asthma symptoms cough", US_national_yearly!$D:$AM, 27, FALSE) / VLOOKUP("transport|SO2|Asthma symptoms cough", US_national_yearly!$D:$AM, 10, FALSE), 1)</f>
        <v>1.6953432515015208E-2</v>
      </c>
      <c r="T6" s="7">
        <f>$B6 * IFERROR(VLOOKUP("transport|SO2|Asthma symptoms cough", US_national_yearly!$D:$AM, 28, FALSE) / VLOOKUP("transport|SO2|Asthma symptoms cough", US_national_yearly!$D:$AM, 10, FALSE), 1)</f>
        <v>1.6953432515015208E-2</v>
      </c>
      <c r="U6" s="7">
        <f>$B6 * IFERROR(VLOOKUP("transport|SO2|Asthma symptoms cough", US_national_yearly!$D:$AM, 29, FALSE) / VLOOKUP("transport|SO2|Asthma symptoms cough", US_national_yearly!$D:$AM, 10, FALSE), 1)</f>
        <v>1.6953432515015208E-2</v>
      </c>
      <c r="V6" s="7">
        <f>$B6 * IFERROR(VLOOKUP("transport|SO2|Asthma symptoms cough", US_national_yearly!$D:$AM, 30, FALSE) / VLOOKUP("transport|SO2|Asthma symptoms cough", US_national_yearly!$D:$AM, 10, FALSE), 1)</f>
        <v>1.6953432515015208E-2</v>
      </c>
      <c r="W6" s="7">
        <f>$B6 * IFERROR(VLOOKUP("transport|SO2|Asthma symptoms cough", US_national_yearly!$D:$AM, 31, FALSE) / VLOOKUP("transport|SO2|Asthma symptoms cough", US_national_yearly!$D:$AM, 10, FALSE), 1)</f>
        <v>1.6953432515015208E-2</v>
      </c>
      <c r="X6" s="7">
        <f>$B6 * IFERROR(VLOOKUP("transport|SO2|Asthma symptoms cough", US_national_yearly!$D:$AM, 32, FALSE) / VLOOKUP("transport|SO2|Asthma symptoms cough", US_national_yearly!$D:$AM, 10, FALSE), 1)</f>
        <v>1.6953432515015208E-2</v>
      </c>
      <c r="Y6" s="7">
        <f>$B6 * IFERROR(VLOOKUP("transport|SO2|Asthma symptoms cough", US_national_yearly!$D:$AM, 33, FALSE) / VLOOKUP("transport|SO2|Asthma symptoms cough", US_national_yearly!$D:$AM, 10, FALSE), 1)</f>
        <v>1.6953432515015208E-2</v>
      </c>
      <c r="Z6" s="7">
        <f>$B6 * IFERROR(VLOOKUP("transport|SO2|Asthma symptoms cough", US_national_yearly!$D:$AM, 34, FALSE) / VLOOKUP("transport|SO2|Asthma symptoms cough", US_national_yearly!$D:$AM, 10, FALSE), 1)</f>
        <v>1.6953432515015208E-2</v>
      </c>
      <c r="AA6" s="7">
        <f>$B6 * IFERROR(VLOOKUP("transport|SO2|Asthma symptoms cough", US_national_yearly!$D:$AM, 35, FALSE) / VLOOKUP("transport|SO2|Asthma symptoms cough", US_national_yearly!$D:$AM, 10, FALSE), 1)</f>
        <v>1.6953432515015208E-2</v>
      </c>
      <c r="AB6" s="7">
        <f>$B6 * IFERROR(VLOOKUP("transport|SO2|Asthma symptoms cough", US_national_yearly!$D:$AM, 36, FALSE) / VLOOKUP("transport|SO2|Asthma symptoms cough", US_national_yearly!$D:$AM, 10, FALSE), 1)</f>
        <v>1.6953432515015208E-2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2.283020912578234E-2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2.283020912578234E-2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2.283020912578234E-2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2.283020912578234E-2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2.283020912578234E-2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2.283020912578234E-2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2.283020912578234E-2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2.283020912578234E-2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2.283020912578234E-2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2.283020912578234E-2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2.283020912578234E-2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2.283020912578234E-2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2.283020912578234E-2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2.283020912578234E-2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2.283020912578234E-2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2.283020912578234E-2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2.283020912578234E-2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2.283020912578234E-2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2.283020912578234E-2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2.283020912578234E-2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2.283020912578234E-2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2.283020912578234E-2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2.283020912578234E-2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2.283020912578234E-2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2.283020912578234E-2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2.283020912578234E-2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2.283020912578234E-2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3.4880860780764252E-2</v>
      </c>
      <c r="C8" s="7">
        <f>$B8 * IFERROR(VLOOKUP("transport|SO2|Asthma symptoms wheeze", US_national_yearly!$D:$AM, 11, FALSE) / VLOOKUP("transport|SO2|Asthma symptoms wheeze", US_national_yearly!$D:$AM, 10, FALSE), 1)</f>
        <v>3.4880860780764252E-2</v>
      </c>
      <c r="D8" s="7">
        <f>$B8 * IFERROR(VLOOKUP("transport|SO2|Asthma symptoms wheeze", US_national_yearly!$D:$AM, 12, FALSE) / VLOOKUP("transport|SO2|Asthma symptoms wheeze", US_national_yearly!$D:$AM, 10, FALSE), 1)</f>
        <v>3.4880860780764252E-2</v>
      </c>
      <c r="E8" s="7">
        <f>$B8 * IFERROR(VLOOKUP("transport|SO2|Asthma symptoms wheeze", US_national_yearly!$D:$AM, 13, FALSE) / VLOOKUP("transport|SO2|Asthma symptoms wheeze", US_national_yearly!$D:$AM, 10, FALSE), 1)</f>
        <v>3.4880860780764252E-2</v>
      </c>
      <c r="F8" s="7">
        <f>$B8 * IFERROR(VLOOKUP("transport|SO2|Asthma symptoms wheeze", US_national_yearly!$D:$AM, 14, FALSE) / VLOOKUP("transport|SO2|Asthma symptoms wheeze", US_national_yearly!$D:$AM, 10, FALSE), 1)</f>
        <v>3.4880860780764252E-2</v>
      </c>
      <c r="G8" s="7">
        <f>$B8 * IFERROR(VLOOKUP("transport|SO2|Asthma symptoms wheeze", US_national_yearly!$D:$AM, 15, FALSE) / VLOOKUP("transport|SO2|Asthma symptoms wheeze", US_national_yearly!$D:$AM, 10, FALSE), 1)</f>
        <v>3.4880860780764252E-2</v>
      </c>
      <c r="H8" s="7">
        <f>$B8 * IFERROR(VLOOKUP("transport|SO2|Asthma symptoms wheeze", US_national_yearly!$D:$AM, 16, FALSE) / VLOOKUP("transport|SO2|Asthma symptoms wheeze", US_national_yearly!$D:$AM, 10, FALSE), 1)</f>
        <v>3.4880860780764252E-2</v>
      </c>
      <c r="I8" s="7">
        <f>$B8 * IFERROR(VLOOKUP("transport|SO2|Asthma symptoms wheeze", US_national_yearly!$D:$AM, 17, FALSE) / VLOOKUP("transport|SO2|Asthma symptoms wheeze", US_national_yearly!$D:$AM, 10, FALSE), 1)</f>
        <v>3.4880860780764252E-2</v>
      </c>
      <c r="J8" s="7">
        <f>$B8 * IFERROR(VLOOKUP("transport|SO2|Asthma symptoms wheeze", US_national_yearly!$D:$AM, 18, FALSE) / VLOOKUP("transport|SO2|Asthma symptoms wheeze", US_national_yearly!$D:$AM, 10, FALSE), 1)</f>
        <v>3.4880860780764252E-2</v>
      </c>
      <c r="K8" s="7">
        <f>$B8 * IFERROR(VLOOKUP("transport|SO2|Asthma symptoms wheeze", US_national_yearly!$D:$AM, 19, FALSE) / VLOOKUP("transport|SO2|Asthma symptoms wheeze", US_national_yearly!$D:$AM, 10, FALSE), 1)</f>
        <v>3.4880860780764252E-2</v>
      </c>
      <c r="L8" s="7">
        <f>$B8 * IFERROR(VLOOKUP("transport|SO2|Asthma symptoms wheeze", US_national_yearly!$D:$AM, 20, FALSE) / VLOOKUP("transport|SO2|Asthma symptoms wheeze", US_national_yearly!$D:$AM, 10, FALSE), 1)</f>
        <v>3.4880860780764252E-2</v>
      </c>
      <c r="M8" s="7">
        <f>$B8 * IFERROR(VLOOKUP("transport|SO2|Asthma symptoms wheeze", US_national_yearly!$D:$AM, 21, FALSE) / VLOOKUP("transport|SO2|Asthma symptoms wheeze", US_national_yearly!$D:$AM, 10, FALSE), 1)</f>
        <v>3.4880860780764252E-2</v>
      </c>
      <c r="N8" s="7">
        <f>$B8 * IFERROR(VLOOKUP("transport|SO2|Asthma symptoms wheeze", US_national_yearly!$D:$AM, 22, FALSE) / VLOOKUP("transport|SO2|Asthma symptoms wheeze", US_national_yearly!$D:$AM, 10, FALSE), 1)</f>
        <v>3.4880860780764252E-2</v>
      </c>
      <c r="O8" s="7">
        <f>$B8 * IFERROR(VLOOKUP("transport|SO2|Asthma symptoms wheeze", US_national_yearly!$D:$AM, 23, FALSE) / VLOOKUP("transport|SO2|Asthma symptoms wheeze", US_national_yearly!$D:$AM, 10, FALSE), 1)</f>
        <v>3.4880860780764252E-2</v>
      </c>
      <c r="P8" s="7">
        <f>$B8 * IFERROR(VLOOKUP("transport|SO2|Asthma symptoms wheeze", US_national_yearly!$D:$AM, 24, FALSE) / VLOOKUP("transport|SO2|Asthma symptoms wheeze", US_national_yearly!$D:$AM, 10, FALSE), 1)</f>
        <v>3.4880860780764252E-2</v>
      </c>
      <c r="Q8" s="7">
        <f>$B8 * IFERROR(VLOOKUP("transport|SO2|Asthma symptoms wheeze", US_national_yearly!$D:$AM, 25, FALSE) / VLOOKUP("transport|SO2|Asthma symptoms wheeze", US_national_yearly!$D:$AM, 10, FALSE), 1)</f>
        <v>3.4880860780764252E-2</v>
      </c>
      <c r="R8" s="7">
        <f>$B8 * IFERROR(VLOOKUP("transport|SO2|Asthma symptoms wheeze", US_national_yearly!$D:$AM, 26, FALSE) / VLOOKUP("transport|SO2|Asthma symptoms wheeze", US_national_yearly!$D:$AM, 10, FALSE), 1)</f>
        <v>3.4880860780764252E-2</v>
      </c>
      <c r="S8" s="7">
        <f>$B8 * IFERROR(VLOOKUP("transport|SO2|Asthma symptoms wheeze", US_national_yearly!$D:$AM, 27, FALSE) / VLOOKUP("transport|SO2|Asthma symptoms wheeze", US_national_yearly!$D:$AM, 10, FALSE), 1)</f>
        <v>3.4880860780764252E-2</v>
      </c>
      <c r="T8" s="7">
        <f>$B8 * IFERROR(VLOOKUP("transport|SO2|Asthma symptoms wheeze", US_national_yearly!$D:$AM, 28, FALSE) / VLOOKUP("transport|SO2|Asthma symptoms wheeze", US_national_yearly!$D:$AM, 10, FALSE), 1)</f>
        <v>3.4880860780764252E-2</v>
      </c>
      <c r="U8" s="7">
        <f>$B8 * IFERROR(VLOOKUP("transport|SO2|Asthma symptoms wheeze", US_national_yearly!$D:$AM, 29, FALSE) / VLOOKUP("transport|SO2|Asthma symptoms wheeze", US_national_yearly!$D:$AM, 10, FALSE), 1)</f>
        <v>3.4880860780764252E-2</v>
      </c>
      <c r="V8" s="7">
        <f>$B8 * IFERROR(VLOOKUP("transport|SO2|Asthma symptoms wheeze", US_national_yearly!$D:$AM, 30, FALSE) / VLOOKUP("transport|SO2|Asthma symptoms wheeze", US_national_yearly!$D:$AM, 10, FALSE), 1)</f>
        <v>3.4880860780764252E-2</v>
      </c>
      <c r="W8" s="7">
        <f>$B8 * IFERROR(VLOOKUP("transport|SO2|Asthma symptoms wheeze", US_national_yearly!$D:$AM, 31, FALSE) / VLOOKUP("transport|SO2|Asthma symptoms wheeze", US_national_yearly!$D:$AM, 10, FALSE), 1)</f>
        <v>3.4880860780764252E-2</v>
      </c>
      <c r="X8" s="7">
        <f>$B8 * IFERROR(VLOOKUP("transport|SO2|Asthma symptoms wheeze", US_national_yearly!$D:$AM, 32, FALSE) / VLOOKUP("transport|SO2|Asthma symptoms wheeze", US_national_yearly!$D:$AM, 10, FALSE), 1)</f>
        <v>3.4880860780764252E-2</v>
      </c>
      <c r="Y8" s="7">
        <f>$B8 * IFERROR(VLOOKUP("transport|SO2|Asthma symptoms wheeze", US_national_yearly!$D:$AM, 33, FALSE) / VLOOKUP("transport|SO2|Asthma symptoms wheeze", US_national_yearly!$D:$AM, 10, FALSE), 1)</f>
        <v>3.4880860780764252E-2</v>
      </c>
      <c r="Z8" s="7">
        <f>$B8 * IFERROR(VLOOKUP("transport|SO2|Asthma symptoms wheeze", US_national_yearly!$D:$AM, 34, FALSE) / VLOOKUP("transport|SO2|Asthma symptoms wheeze", US_national_yearly!$D:$AM, 10, FALSE), 1)</f>
        <v>3.4880860780764252E-2</v>
      </c>
      <c r="AA8" s="7">
        <f>$B8 * IFERROR(VLOOKUP("transport|SO2|Asthma symptoms wheeze", US_national_yearly!$D:$AM, 35, FALSE) / VLOOKUP("transport|SO2|Asthma symptoms wheeze", US_national_yearly!$D:$AM, 10, FALSE), 1)</f>
        <v>3.4880860780764252E-2</v>
      </c>
      <c r="AB8" s="7">
        <f>$B8 * IFERROR(VLOOKUP("transport|SO2|Asthma symptoms wheeze", US_national_yearly!$D:$AM, 36, FALSE) / VLOOKUP("transport|SO2|Asthma symptoms wheeze", US_national_yearly!$D:$AM, 10, FALSE), 1)</f>
        <v>3.4880860780764252E-2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5.4109423963892578E-4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5.4428564035394005E-4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5.4747704106895422E-4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5.5066844178396849E-4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5.5385984249898277E-4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5.5733900757508142E-4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5.6081817265118006E-4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5.6424904365997804E-4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5.6767991466877613E-4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5.7111078567757389E-4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5.7454165668637197E-4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5.7797252769516973E-4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5.804769576254154E-4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5.8298138755566106E-4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5.8548581748590661E-4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5.8799024741615238E-4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5.9049467734639794E-4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5.9288371240645641E-4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5.9527274746651467E-4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5.9766178252657314E-4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6.0005081758663162E-4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6.0243985264668998E-4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6.0470665468574138E-4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6.0697345672479266E-4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6.0924025876384405E-4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6.1150706080289534E-4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6.1377386284194684E-4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3.198099059358952E-3</v>
      </c>
      <c r="C13" s="7">
        <f>$B13 * IFERROR(VLOOKUP("transport|SO2|Non-fatal heart attacks", US_national_yearly!$D:$AM, 11, FALSE) / VLOOKUP("transport|SO2|Non-fatal heart attacks", US_national_yearly!$D:$AM, 10, FALSE), 1)</f>
        <v>3.2919836316090256E-3</v>
      </c>
      <c r="D13" s="7">
        <f>$B13 * IFERROR(VLOOKUP("transport|SO2|Non-fatal heart attacks", US_national_yearly!$D:$AM, 12, FALSE) / VLOOKUP("transport|SO2|Non-fatal heart attacks", US_national_yearly!$D:$AM, 10, FALSE), 1)</f>
        <v>3.3858682038590995E-3</v>
      </c>
      <c r="E13" s="7">
        <f>$B13 * IFERROR(VLOOKUP("transport|SO2|Non-fatal heart attacks", US_national_yearly!$D:$AM, 13, FALSE) / VLOOKUP("transport|SO2|Non-fatal heart attacks", US_national_yearly!$D:$AM, 10, FALSE), 1)</f>
        <v>3.479752776109173E-3</v>
      </c>
      <c r="F13" s="7">
        <f>$B13 * IFERROR(VLOOKUP("transport|SO2|Non-fatal heart attacks", US_national_yearly!$D:$AM, 14, FALSE) / VLOOKUP("transport|SO2|Non-fatal heart attacks", US_national_yearly!$D:$AM, 10, FALSE), 1)</f>
        <v>3.5736373483592461E-3</v>
      </c>
      <c r="G13" s="7">
        <f>$B13 * IFERROR(VLOOKUP("transport|SO2|Non-fatal heart attacks", US_national_yearly!$D:$AM, 15, FALSE) / VLOOKUP("transport|SO2|Non-fatal heart attacks", US_national_yearly!$D:$AM, 10, FALSE), 1)</f>
        <v>3.6621792083171324E-3</v>
      </c>
      <c r="H13" s="7">
        <f>$B13 * IFERROR(VLOOKUP("transport|SO2|Non-fatal heart attacks", US_national_yearly!$D:$AM, 16, FALSE) / VLOOKUP("transport|SO2|Non-fatal heart attacks", US_national_yearly!$D:$AM, 10, FALSE), 1)</f>
        <v>3.7507210682750183E-3</v>
      </c>
      <c r="I13" s="7">
        <f>$B13 * IFERROR(VLOOKUP("transport|SO2|Non-fatal heart attacks", US_national_yearly!$D:$AM, 17, FALSE) / VLOOKUP("transport|SO2|Non-fatal heart attacks", US_national_yearly!$D:$AM, 10, FALSE), 1)</f>
        <v>3.8219695089517355E-3</v>
      </c>
      <c r="J13" s="7">
        <f>$B13 * IFERROR(VLOOKUP("transport|SO2|Non-fatal heart attacks", US_national_yearly!$D:$AM, 18, FALSE) / VLOOKUP("transport|SO2|Non-fatal heart attacks", US_national_yearly!$D:$AM, 10, FALSE), 1)</f>
        <v>3.8932179496284532E-3</v>
      </c>
      <c r="K13" s="7">
        <f>$B13 * IFERROR(VLOOKUP("transport|SO2|Non-fatal heart attacks", US_national_yearly!$D:$AM, 19, FALSE) / VLOOKUP("transport|SO2|Non-fatal heart attacks", US_national_yearly!$D:$AM, 10, FALSE), 1)</f>
        <v>3.96446639030517E-3</v>
      </c>
      <c r="L13" s="7">
        <f>$B13 * IFERROR(VLOOKUP("transport|SO2|Non-fatal heart attacks", US_national_yearly!$D:$AM, 20, FALSE) / VLOOKUP("transport|SO2|Non-fatal heart attacks", US_national_yearly!$D:$AM, 10, FALSE), 1)</f>
        <v>4.0357148309818885E-3</v>
      </c>
      <c r="M13" s="7">
        <f>$B13 * IFERROR(VLOOKUP("transport|SO2|Non-fatal heart attacks", US_national_yearly!$D:$AM, 21, FALSE) / VLOOKUP("transport|SO2|Non-fatal heart attacks", US_national_yearly!$D:$AM, 10, FALSE), 1)</f>
        <v>4.1069632716586061E-3</v>
      </c>
      <c r="N13" s="7">
        <f>$B13 * IFERROR(VLOOKUP("transport|SO2|Non-fatal heart attacks", US_national_yearly!$D:$AM, 22, FALSE) / VLOOKUP("transport|SO2|Non-fatal heart attacks", US_national_yearly!$D:$AM, 10, FALSE), 1)</f>
        <v>4.1532257449853676E-3</v>
      </c>
      <c r="O13" s="7">
        <f>$B13 * IFERROR(VLOOKUP("transport|SO2|Non-fatal heart attacks", US_national_yearly!$D:$AM, 23, FALSE) / VLOOKUP("transport|SO2|Non-fatal heart attacks", US_national_yearly!$D:$AM, 10, FALSE), 1)</f>
        <v>4.19948821831213E-3</v>
      </c>
      <c r="P13" s="7">
        <f>$B13 * IFERROR(VLOOKUP("transport|SO2|Non-fatal heart attacks", US_national_yearly!$D:$AM, 24, FALSE) / VLOOKUP("transport|SO2|Non-fatal heart attacks", US_national_yearly!$D:$AM, 10, FALSE), 1)</f>
        <v>4.2457506916388933E-3</v>
      </c>
      <c r="Q13" s="7">
        <f>$B13 * IFERROR(VLOOKUP("transport|SO2|Non-fatal heart attacks", US_national_yearly!$D:$AM, 25, FALSE) / VLOOKUP("transport|SO2|Non-fatal heart attacks", US_national_yearly!$D:$AM, 10, FALSE), 1)</f>
        <v>4.2920131649656556E-3</v>
      </c>
      <c r="R13" s="7">
        <f>$B13 * IFERROR(VLOOKUP("transport|SO2|Non-fatal heart attacks", US_national_yearly!$D:$AM, 26, FALSE) / VLOOKUP("transport|SO2|Non-fatal heart attacks", US_national_yearly!$D:$AM, 10, FALSE), 1)</f>
        <v>4.3382756382924171E-3</v>
      </c>
      <c r="S13" s="7">
        <f>$B13 * IFERROR(VLOOKUP("transport|SO2|Non-fatal heart attacks", US_national_yearly!$D:$AM, 27, FALSE) / VLOOKUP("transport|SO2|Non-fatal heart attacks", US_national_yearly!$D:$AM, 10, FALSE), 1)</f>
        <v>4.3624290153996669E-3</v>
      </c>
      <c r="T13" s="7">
        <f>$B13 * IFERROR(VLOOKUP("transport|SO2|Non-fatal heart attacks", US_national_yearly!$D:$AM, 28, FALSE) / VLOOKUP("transport|SO2|Non-fatal heart attacks", US_national_yearly!$D:$AM, 10, FALSE), 1)</f>
        <v>4.3865823925069167E-3</v>
      </c>
      <c r="U13" s="7">
        <f>$B13 * IFERROR(VLOOKUP("transport|SO2|Non-fatal heart attacks", US_national_yearly!$D:$AM, 29, FALSE) / VLOOKUP("transport|SO2|Non-fatal heart attacks", US_national_yearly!$D:$AM, 10, FALSE), 1)</f>
        <v>4.4107357696141656E-3</v>
      </c>
      <c r="V13" s="7">
        <f>$B13 * IFERROR(VLOOKUP("transport|SO2|Non-fatal heart attacks", US_national_yearly!$D:$AM, 30, FALSE) / VLOOKUP("transport|SO2|Non-fatal heart attacks", US_national_yearly!$D:$AM, 10, FALSE), 1)</f>
        <v>4.4348891467214137E-3</v>
      </c>
      <c r="W13" s="7">
        <f>$B13 * IFERROR(VLOOKUP("transport|SO2|Non-fatal heart attacks", US_national_yearly!$D:$AM, 31, FALSE) / VLOOKUP("transport|SO2|Non-fatal heart attacks", US_national_yearly!$D:$AM, 10, FALSE), 1)</f>
        <v>4.4590425238286643E-3</v>
      </c>
      <c r="X13" s="7">
        <f>$B13 * IFERROR(VLOOKUP("transport|SO2|Non-fatal heart attacks", US_national_yearly!$D:$AM, 32, FALSE) / VLOOKUP("transport|SO2|Non-fatal heart attacks", US_national_yearly!$D:$AM, 10, FALSE), 1)</f>
        <v>4.4772762107557224E-3</v>
      </c>
      <c r="Y13" s="7">
        <f>$B13 * IFERROR(VLOOKUP("transport|SO2|Non-fatal heart attacks", US_national_yearly!$D:$AM, 33, FALSE) / VLOOKUP("transport|SO2|Non-fatal heart attacks", US_national_yearly!$D:$AM, 10, FALSE), 1)</f>
        <v>4.4955098976827814E-3</v>
      </c>
      <c r="Z13" s="7">
        <f>$B13 * IFERROR(VLOOKUP("transport|SO2|Non-fatal heart attacks", US_national_yearly!$D:$AM, 34, FALSE) / VLOOKUP("transport|SO2|Non-fatal heart attacks", US_national_yearly!$D:$AM, 10, FALSE), 1)</f>
        <v>4.5137435846098395E-3</v>
      </c>
      <c r="AA13" s="7">
        <f>$B13 * IFERROR(VLOOKUP("transport|SO2|Non-fatal heart attacks", US_national_yearly!$D:$AM, 35, FALSE) / VLOOKUP("transport|SO2|Non-fatal heart attacks", US_national_yearly!$D:$AM, 10, FALSE), 1)</f>
        <v>4.5319772715368984E-3</v>
      </c>
      <c r="AB13" s="7">
        <f>$B13 * IFERROR(VLOOKUP("transport|SO2|Non-fatal heart attacks", US_national_yearly!$D:$AM, 36, FALSE) / VLOOKUP("transport|SO2|Non-fatal heart attacks", US_national_yearly!$D:$AM, 10, FALSE), 1)</f>
        <v>4.5502109584639565E-3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2.6376944893217753</v>
      </c>
      <c r="C14" s="7">
        <f>$B14 * IFERROR(VLOOKUP("transport|SO2|Minor restricted activity days", US_national_yearly!$D:$AM, 11, FALSE) / VLOOKUP("transport|SO2|Minor restricted activity days", US_national_yearly!$D:$AM, 10, FALSE), 1)</f>
        <v>2.6443432382698027</v>
      </c>
      <c r="D14" s="7">
        <f>$B14 * IFERROR(VLOOKUP("transport|SO2|Minor restricted activity days", US_national_yearly!$D:$AM, 12, FALSE) / VLOOKUP("transport|SO2|Minor restricted activity days", US_national_yearly!$D:$AM, 10, FALSE), 1)</f>
        <v>2.6509919872178296</v>
      </c>
      <c r="E14" s="7">
        <f>$B14 * IFERROR(VLOOKUP("transport|SO2|Minor restricted activity days", US_national_yearly!$D:$AM, 13, FALSE) / VLOOKUP("transport|SO2|Minor restricted activity days", US_national_yearly!$D:$AM, 10, FALSE), 1)</f>
        <v>2.6576407361658574</v>
      </c>
      <c r="F14" s="7">
        <f>$B14 * IFERROR(VLOOKUP("transport|SO2|Minor restricted activity days", US_national_yearly!$D:$AM, 14, FALSE) / VLOOKUP("transport|SO2|Minor restricted activity days", US_national_yearly!$D:$AM, 10, FALSE), 1)</f>
        <v>2.6642894851138843</v>
      </c>
      <c r="G14" s="7">
        <f>$B14 * IFERROR(VLOOKUP("transport|SO2|Minor restricted activity days", US_national_yearly!$D:$AM, 15, FALSE) / VLOOKUP("transport|SO2|Minor restricted activity days", US_national_yearly!$D:$AM, 10, FALSE), 1)</f>
        <v>2.6740757903886365</v>
      </c>
      <c r="H14" s="7">
        <f>$B14 * IFERROR(VLOOKUP("transport|SO2|Minor restricted activity days", US_national_yearly!$D:$AM, 16, FALSE) / VLOOKUP("transport|SO2|Minor restricted activity days", US_national_yearly!$D:$AM, 10, FALSE), 1)</f>
        <v>2.6838620956633887</v>
      </c>
      <c r="I14" s="7">
        <f>$B14 * IFERROR(VLOOKUP("transport|SO2|Minor restricted activity days", US_national_yearly!$D:$AM, 17, FALSE) / VLOOKUP("transport|SO2|Minor restricted activity days", US_national_yearly!$D:$AM, 10, FALSE), 1)</f>
        <v>2.7005517271189516</v>
      </c>
      <c r="J14" s="7">
        <f>$B14 * IFERROR(VLOOKUP("transport|SO2|Minor restricted activity days", US_national_yearly!$D:$AM, 18, FALSE) / VLOOKUP("transport|SO2|Minor restricted activity days", US_national_yearly!$D:$AM, 10, FALSE), 1)</f>
        <v>2.7172413585745145</v>
      </c>
      <c r="K14" s="7">
        <f>$B14 * IFERROR(VLOOKUP("transport|SO2|Minor restricted activity days", US_national_yearly!$D:$AM, 19, FALSE) / VLOOKUP("transport|SO2|Minor restricted activity days", US_national_yearly!$D:$AM, 10, FALSE), 1)</f>
        <v>2.7339309900300779</v>
      </c>
      <c r="L14" s="7">
        <f>$B14 * IFERROR(VLOOKUP("transport|SO2|Minor restricted activity days", US_national_yearly!$D:$AM, 20, FALSE) / VLOOKUP("transport|SO2|Minor restricted activity days", US_national_yearly!$D:$AM, 10, FALSE), 1)</f>
        <v>2.7506206214856408</v>
      </c>
      <c r="M14" s="7">
        <f>$B14 * IFERROR(VLOOKUP("transport|SO2|Minor restricted activity days", US_national_yearly!$D:$AM, 21, FALSE) / VLOOKUP("transport|SO2|Minor restricted activity days", US_national_yearly!$D:$AM, 10, FALSE), 1)</f>
        <v>2.7673102529412037</v>
      </c>
      <c r="N14" s="7">
        <f>$B14 * IFERROR(VLOOKUP("transport|SO2|Minor restricted activity days", US_national_yearly!$D:$AM, 22, FALSE) / VLOOKUP("transport|SO2|Minor restricted activity days", US_national_yearly!$D:$AM, 10, FALSE), 1)</f>
        <v>2.7901389907712004</v>
      </c>
      <c r="O14" s="7">
        <f>$B14 * IFERROR(VLOOKUP("transport|SO2|Minor restricted activity days", US_national_yearly!$D:$AM, 23, FALSE) / VLOOKUP("transport|SO2|Minor restricted activity days", US_national_yearly!$D:$AM, 10, FALSE), 1)</f>
        <v>2.8129677286011976</v>
      </c>
      <c r="P14" s="7">
        <f>$B14 * IFERROR(VLOOKUP("transport|SO2|Minor restricted activity days", US_national_yearly!$D:$AM, 24, FALSE) / VLOOKUP("transport|SO2|Minor restricted activity days", US_national_yearly!$D:$AM, 10, FALSE), 1)</f>
        <v>2.8357964664311943</v>
      </c>
      <c r="Q14" s="7">
        <f>$B14 * IFERROR(VLOOKUP("transport|SO2|Minor restricted activity days", US_national_yearly!$D:$AM, 25, FALSE) / VLOOKUP("transport|SO2|Minor restricted activity days", US_national_yearly!$D:$AM, 10, FALSE), 1)</f>
        <v>2.8586252042611915</v>
      </c>
      <c r="R14" s="7">
        <f>$B14 * IFERROR(VLOOKUP("transport|SO2|Minor restricted activity days", US_national_yearly!$D:$AM, 26, FALSE) / VLOOKUP("transport|SO2|Minor restricted activity days", US_national_yearly!$D:$AM, 10, FALSE), 1)</f>
        <v>2.8814539420911882</v>
      </c>
      <c r="S14" s="7">
        <f>$B14 * IFERROR(VLOOKUP("transport|SO2|Minor restricted activity days", US_national_yearly!$D:$AM, 27, FALSE) / VLOOKUP("transport|SO2|Minor restricted activity days", US_national_yearly!$D:$AM, 10, FALSE), 1)</f>
        <v>2.9047300746470417</v>
      </c>
      <c r="T14" s="7">
        <f>$B14 * IFERROR(VLOOKUP("transport|SO2|Minor restricted activity days", US_national_yearly!$D:$AM, 28, FALSE) / VLOOKUP("transport|SO2|Minor restricted activity days", US_national_yearly!$D:$AM, 10, FALSE), 1)</f>
        <v>2.9280062072028947</v>
      </c>
      <c r="U14" s="7">
        <f>$B14 * IFERROR(VLOOKUP("transport|SO2|Minor restricted activity days", US_national_yearly!$D:$AM, 29, FALSE) / VLOOKUP("transport|SO2|Minor restricted activity days", US_national_yearly!$D:$AM, 10, FALSE), 1)</f>
        <v>2.9512823397587482</v>
      </c>
      <c r="V14" s="7">
        <f>$B14 * IFERROR(VLOOKUP("transport|SO2|Minor restricted activity days", US_national_yearly!$D:$AM, 30, FALSE) / VLOOKUP("transport|SO2|Minor restricted activity days", US_national_yearly!$D:$AM, 10, FALSE), 1)</f>
        <v>2.9745584723146012</v>
      </c>
      <c r="W14" s="7">
        <f>$B14 * IFERROR(VLOOKUP("transport|SO2|Minor restricted activity days", US_national_yearly!$D:$AM, 31, FALSE) / VLOOKUP("transport|SO2|Minor restricted activity days", US_national_yearly!$D:$AM, 10, FALSE), 1)</f>
        <v>2.9978346048704552</v>
      </c>
      <c r="X14" s="7">
        <f>$B14 * IFERROR(VLOOKUP("transport|SO2|Minor restricted activity days", US_national_yearly!$D:$AM, 32, FALSE) / VLOOKUP("transport|SO2|Minor restricted activity days", US_national_yearly!$D:$AM, 10, FALSE), 1)</f>
        <v>3.0183041086058742</v>
      </c>
      <c r="Y14" s="7">
        <f>$B14 * IFERROR(VLOOKUP("transport|SO2|Minor restricted activity days", US_national_yearly!$D:$AM, 33, FALSE) / VLOOKUP("transport|SO2|Minor restricted activity days", US_national_yearly!$D:$AM, 10, FALSE), 1)</f>
        <v>3.0387736123412932</v>
      </c>
      <c r="Z14" s="7">
        <f>$B14 * IFERROR(VLOOKUP("transport|SO2|Minor restricted activity days", US_national_yearly!$D:$AM, 34, FALSE) / VLOOKUP("transport|SO2|Minor restricted activity days", US_national_yearly!$D:$AM, 10, FALSE), 1)</f>
        <v>3.0592431160767131</v>
      </c>
      <c r="AA14" s="7">
        <f>$B14 * IFERROR(VLOOKUP("transport|SO2|Minor restricted activity days", US_national_yearly!$D:$AM, 35, FALSE) / VLOOKUP("transport|SO2|Minor restricted activity days", US_national_yearly!$D:$AM, 10, FALSE), 1)</f>
        <v>3.0797126198121321</v>
      </c>
      <c r="AB14" s="7">
        <f>$B14 * IFERROR(VLOOKUP("transport|SO2|Minor restricted activity days", US_national_yearly!$D:$AM, 36, FALSE) / VLOOKUP("transport|SO2|Minor restricted activity days", US_national_yearly!$D:$AM, 10, FALSE), 1)</f>
        <v>3.1001821235475515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0.45306059461396886</v>
      </c>
      <c r="C15" s="7">
        <f>$B15 * IFERROR(VLOOKUP("transport|SO2|Work loss days", US_national_yearly!$D:$AM, 11, FALSE) / VLOOKUP("transport|SO2|Work loss days", US_national_yearly!$D:$AM, 10, FALSE), 1)</f>
        <v>0.45452843893290601</v>
      </c>
      <c r="D15" s="7">
        <f>$B15 * IFERROR(VLOOKUP("transport|SO2|Work loss days", US_national_yearly!$D:$AM, 12, FALSE) / VLOOKUP("transport|SO2|Work loss days", US_national_yearly!$D:$AM, 10, FALSE), 1)</f>
        <v>0.45599628325184316</v>
      </c>
      <c r="E15" s="7">
        <f>$B15 * IFERROR(VLOOKUP("transport|SO2|Work loss days", US_national_yearly!$D:$AM, 13, FALSE) / VLOOKUP("transport|SO2|Work loss days", US_national_yearly!$D:$AM, 10, FALSE), 1)</f>
        <v>0.45746412757078031</v>
      </c>
      <c r="F15" s="7">
        <f>$B15 * IFERROR(VLOOKUP("transport|SO2|Work loss days", US_national_yearly!$D:$AM, 14, FALSE) / VLOOKUP("transport|SO2|Work loss days", US_national_yearly!$D:$AM, 10, FALSE), 1)</f>
        <v>0.45893197188971746</v>
      </c>
      <c r="G15" s="7">
        <f>$B15 * IFERROR(VLOOKUP("transport|SO2|Work loss days", US_national_yearly!$D:$AM, 15, FALSE) / VLOOKUP("transport|SO2|Work loss days", US_national_yearly!$D:$AM, 10, FALSE), 1)</f>
        <v>0.46084989009464067</v>
      </c>
      <c r="H15" s="7">
        <f>$B15 * IFERROR(VLOOKUP("transport|SO2|Work loss days", US_national_yearly!$D:$AM, 16, FALSE) / VLOOKUP("transport|SO2|Work loss days", US_national_yearly!$D:$AM, 10, FALSE), 1)</f>
        <v>0.46276780829956377</v>
      </c>
      <c r="I15" s="7">
        <f>$B15 * IFERROR(VLOOKUP("transport|SO2|Work loss days", US_national_yearly!$D:$AM, 17, FALSE) / VLOOKUP("transport|SO2|Work loss days", US_national_yearly!$D:$AM, 10, FALSE), 1)</f>
        <v>0.46557346517142184</v>
      </c>
      <c r="J15" s="7">
        <f>$B15 * IFERROR(VLOOKUP("transport|SO2|Work loss days", US_national_yearly!$D:$AM, 18, FALSE) / VLOOKUP("transport|SO2|Work loss days", US_national_yearly!$D:$AM, 10, FALSE), 1)</f>
        <v>0.46837912204327981</v>
      </c>
      <c r="K15" s="7">
        <f>$B15 * IFERROR(VLOOKUP("transport|SO2|Work loss days", US_national_yearly!$D:$AM, 19, FALSE) / VLOOKUP("transport|SO2|Work loss days", US_national_yearly!$D:$AM, 10, FALSE), 1)</f>
        <v>0.47118477891513783</v>
      </c>
      <c r="L15" s="7">
        <f>$B15 * IFERROR(VLOOKUP("transport|SO2|Work loss days", US_national_yearly!$D:$AM, 20, FALSE) / VLOOKUP("transport|SO2|Work loss days", US_national_yearly!$D:$AM, 10, FALSE), 1)</f>
        <v>0.4739904357869959</v>
      </c>
      <c r="M15" s="7">
        <f>$B15 * IFERROR(VLOOKUP("transport|SO2|Work loss days", US_national_yearly!$D:$AM, 21, FALSE) / VLOOKUP("transport|SO2|Work loss days", US_national_yearly!$D:$AM, 10, FALSE), 1)</f>
        <v>0.47679609265885398</v>
      </c>
      <c r="N15" s="7">
        <f>$B15 * IFERROR(VLOOKUP("transport|SO2|Work loss days", US_national_yearly!$D:$AM, 22, FALSE) / VLOOKUP("transport|SO2|Work loss days", US_national_yearly!$D:$AM, 10, FALSE), 1)</f>
        <v>0.48031393171784575</v>
      </c>
      <c r="O15" s="7">
        <f>$B15 * IFERROR(VLOOKUP("transport|SO2|Work loss days", US_national_yearly!$D:$AM, 23, FALSE) / VLOOKUP("transport|SO2|Work loss days", US_national_yearly!$D:$AM, 10, FALSE), 1)</f>
        <v>0.48383177077683759</v>
      </c>
      <c r="P15" s="7">
        <f>$B15 * IFERROR(VLOOKUP("transport|SO2|Work loss days", US_national_yearly!$D:$AM, 24, FALSE) / VLOOKUP("transport|SO2|Work loss days", US_national_yearly!$D:$AM, 10, FALSE), 1)</f>
        <v>0.48734960983582926</v>
      </c>
      <c r="Q15" s="7">
        <f>$B15 * IFERROR(VLOOKUP("transport|SO2|Work loss days", US_national_yearly!$D:$AM, 25, FALSE) / VLOOKUP("transport|SO2|Work loss days", US_national_yearly!$D:$AM, 10, FALSE), 1)</f>
        <v>0.49086744889482109</v>
      </c>
      <c r="R15" s="7">
        <f>$B15 * IFERROR(VLOOKUP("transport|SO2|Work loss days", US_national_yearly!$D:$AM, 26, FALSE) / VLOOKUP("transport|SO2|Work loss days", US_national_yearly!$D:$AM, 10, FALSE), 1)</f>
        <v>0.49438528795381292</v>
      </c>
      <c r="S15" s="7">
        <f>$B15 * IFERROR(VLOOKUP("transport|SO2|Work loss days", US_national_yearly!$D:$AM, 27, FALSE) / VLOOKUP("transport|SO2|Work loss days", US_national_yearly!$D:$AM, 10, FALSE), 1)</f>
        <v>0.498316461504069</v>
      </c>
      <c r="T15" s="7">
        <f>$B15 * IFERROR(VLOOKUP("transport|SO2|Work loss days", US_national_yearly!$D:$AM, 28, FALSE) / VLOOKUP("transport|SO2|Work loss days", US_national_yearly!$D:$AM, 10, FALSE), 1)</f>
        <v>0.50224763505432513</v>
      </c>
      <c r="U15" s="7">
        <f>$B15 * IFERROR(VLOOKUP("transport|SO2|Work loss days", US_national_yearly!$D:$AM, 29, FALSE) / VLOOKUP("transport|SO2|Work loss days", US_national_yearly!$D:$AM, 10, FALSE), 1)</f>
        <v>0.5061788086045812</v>
      </c>
      <c r="V15" s="7">
        <f>$B15 * IFERROR(VLOOKUP("transport|SO2|Work loss days", US_national_yearly!$D:$AM, 30, FALSE) / VLOOKUP("transport|SO2|Work loss days", US_national_yearly!$D:$AM, 10, FALSE), 1)</f>
        <v>0.51010998215483738</v>
      </c>
      <c r="W15" s="7">
        <f>$B15 * IFERROR(VLOOKUP("transport|SO2|Work loss days", US_national_yearly!$D:$AM, 31, FALSE) / VLOOKUP("transport|SO2|Work loss days", US_national_yearly!$D:$AM, 10, FALSE), 1)</f>
        <v>0.51404115570509357</v>
      </c>
      <c r="X15" s="7">
        <f>$B15 * IFERROR(VLOOKUP("transport|SO2|Work loss days", US_national_yearly!$D:$AM, 32, FALSE) / VLOOKUP("transport|SO2|Work loss days", US_national_yearly!$D:$AM, 10, FALSE), 1)</f>
        <v>0.51757080769356689</v>
      </c>
      <c r="Y15" s="7">
        <f>$B15 * IFERROR(VLOOKUP("transport|SO2|Work loss days", US_national_yearly!$D:$AM, 33, FALSE) / VLOOKUP("transport|SO2|Work loss days", US_national_yearly!$D:$AM, 10, FALSE), 1)</f>
        <v>0.52110045968204033</v>
      </c>
      <c r="Z15" s="7">
        <f>$B15 * IFERROR(VLOOKUP("transport|SO2|Work loss days", US_national_yearly!$D:$AM, 34, FALSE) / VLOOKUP("transport|SO2|Work loss days", US_national_yearly!$D:$AM, 10, FALSE), 1)</f>
        <v>0.52463011167051377</v>
      </c>
      <c r="AA15" s="7">
        <f>$B15 * IFERROR(VLOOKUP("transport|SO2|Work loss days", US_national_yearly!$D:$AM, 35, FALSE) / VLOOKUP("transport|SO2|Work loss days", US_national_yearly!$D:$AM, 10, FALSE), 1)</f>
        <v>0.5281597636589872</v>
      </c>
      <c r="AB15" s="7">
        <f>$B15 * IFERROR(VLOOKUP("transport|SO2|Work loss days", US_national_yearly!$D:$AM, 36, FALSE) / VLOOKUP("transport|SO2|Work loss days", US_national_yearly!$D:$AM, 10, FALSE), 1)</f>
        <v>0.53168941564746064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7.5098600973381351E-4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7.7369870251033969E-4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7.9641139528686576E-4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8.1912408806339193E-4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8.4183678083991822E-4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8.6359338088030999E-4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8.8534998092070199E-4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9.039911413918837E-4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9.226323018630653E-4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9.4127346233424702E-4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9.5991462280542873E-4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9.7855578327661012E-4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9.9107839684755943E-4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1.0036010104185085E-3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1.0161236239894576E-3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1.0286462375604067E-3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1.0411688511313558E-3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1.0477548542587561E-3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1.0543408573861564E-3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1.0609268605135565E-3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1.0675128636409568E-3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1.0740988667683569E-3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1.0785202683844103E-3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1.0829416700004638E-3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1.087363071616517E-3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1.0917844732325707E-3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1.0962058748486237E-3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2.6122564162824373E-2</v>
      </c>
      <c r="C2" s="7">
        <f>$B2 * IFERROR(VLOOKUP("electricity|PM25|Premature mortality", US_national_yearly!$D:$AM, 11, FALSE) / VLOOKUP("electricity|PM25|Premature mortality", US_national_yearly!$D:$AM, 10, FALSE), 1)</f>
        <v>2.6446124452865444E-2</v>
      </c>
      <c r="D2" s="7">
        <f>$B2 * IFERROR(VLOOKUP("electricity|PM25|Premature mortality", US_national_yearly!$D:$AM, 12, FALSE) / VLOOKUP("electricity|PM25|Premature mortality", US_national_yearly!$D:$AM, 10, FALSE), 1)</f>
        <v>2.6769684742906516E-2</v>
      </c>
      <c r="E2" s="7">
        <f>$B2 * IFERROR(VLOOKUP("electricity|PM25|Premature mortality", US_national_yearly!$D:$AM, 13, FALSE) / VLOOKUP("electricity|PM25|Premature mortality", US_national_yearly!$D:$AM, 10, FALSE), 1)</f>
        <v>2.7093245032947588E-2</v>
      </c>
      <c r="F2" s="7">
        <f>$B2 * IFERROR(VLOOKUP("electricity|PM25|Premature mortality", US_national_yearly!$D:$AM, 14, FALSE) / VLOOKUP("electricity|PM25|Premature mortality", US_national_yearly!$D:$AM, 10, FALSE), 1)</f>
        <v>2.7416805322988663E-2</v>
      </c>
      <c r="G2" s="7">
        <f>$B2 * IFERROR(VLOOKUP("electricity|PM25|Premature mortality", US_national_yearly!$D:$AM, 15, FALSE) / VLOOKUP("electricity|PM25|Premature mortality", US_national_yearly!$D:$AM, 10, FALSE), 1)</f>
        <v>2.8052294940107528E-2</v>
      </c>
      <c r="H2" s="7">
        <f>$B2 * IFERROR(VLOOKUP("electricity|PM25|Premature mortality", US_national_yearly!$D:$AM, 16, FALSE) / VLOOKUP("electricity|PM25|Premature mortality", US_national_yearly!$D:$AM, 10, FALSE), 1)</f>
        <v>2.8687784557226401E-2</v>
      </c>
      <c r="I2" s="7">
        <f>$B2 * IFERROR(VLOOKUP("electricity|PM25|Premature mortality", US_national_yearly!$D:$AM, 17, FALSE) / VLOOKUP("electricity|PM25|Premature mortality", US_national_yearly!$D:$AM, 10, FALSE), 1)</f>
        <v>2.9114775429054267E-2</v>
      </c>
      <c r="J2" s="7">
        <f>$B2 * IFERROR(VLOOKUP("electricity|PM25|Premature mortality", US_national_yearly!$D:$AM, 18, FALSE) / VLOOKUP("electricity|PM25|Premature mortality", US_national_yearly!$D:$AM, 10, FALSE), 1)</f>
        <v>2.9541766300882136E-2</v>
      </c>
      <c r="K2" s="7">
        <f>$B2 * IFERROR(VLOOKUP("electricity|PM25|Premature mortality", US_national_yearly!$D:$AM, 19, FALSE) / VLOOKUP("electricity|PM25|Premature mortality", US_national_yearly!$D:$AM, 10, FALSE), 1)</f>
        <v>2.9968757172710001E-2</v>
      </c>
      <c r="L2" s="7">
        <f>$B2 * IFERROR(VLOOKUP("electricity|PM25|Premature mortality", US_national_yearly!$D:$AM, 20, FALSE) / VLOOKUP("electricity|PM25|Premature mortality", US_national_yearly!$D:$AM, 10, FALSE), 1)</f>
        <v>3.039574804453787E-2</v>
      </c>
      <c r="M2" s="7">
        <f>$B2 * IFERROR(VLOOKUP("electricity|PM25|Premature mortality", US_national_yearly!$D:$AM, 21, FALSE) / VLOOKUP("electricity|PM25|Premature mortality", US_national_yearly!$D:$AM, 10, FALSE), 1)</f>
        <v>3.0822738916365732E-2</v>
      </c>
      <c r="N2" s="7">
        <f>$B2 * IFERROR(VLOOKUP("electricity|PM25|Premature mortality", US_national_yearly!$D:$AM, 22, FALSE) / VLOOKUP("electricity|PM25|Premature mortality", US_national_yearly!$D:$AM, 10, FALSE), 1)</f>
        <v>3.1163098983624862E-2</v>
      </c>
      <c r="O2" s="7">
        <f>$B2 * IFERROR(VLOOKUP("electricity|PM25|Premature mortality", US_national_yearly!$D:$AM, 23, FALSE) / VLOOKUP("electricity|PM25|Premature mortality", US_national_yearly!$D:$AM, 10, FALSE), 1)</f>
        <v>3.1503459050883982E-2</v>
      </c>
      <c r="P2" s="7">
        <f>$B2 * IFERROR(VLOOKUP("electricity|PM25|Premature mortality", US_national_yearly!$D:$AM, 24, FALSE) / VLOOKUP("electricity|PM25|Premature mortality", US_national_yearly!$D:$AM, 10, FALSE), 1)</f>
        <v>3.1843819118143109E-2</v>
      </c>
      <c r="Q2" s="7">
        <f>$B2 * IFERROR(VLOOKUP("electricity|PM25|Premature mortality", US_national_yearly!$D:$AM, 25, FALSE) / VLOOKUP("electricity|PM25|Premature mortality", US_national_yearly!$D:$AM, 10, FALSE), 1)</f>
        <v>3.2184179185402235E-2</v>
      </c>
      <c r="R2" s="7">
        <f>$B2 * IFERROR(VLOOKUP("electricity|PM25|Premature mortality", US_national_yearly!$D:$AM, 26, FALSE) / VLOOKUP("electricity|PM25|Premature mortality", US_national_yearly!$D:$AM, 10, FALSE), 1)</f>
        <v>3.2524539252661362E-2</v>
      </c>
      <c r="S2" s="7">
        <f>$B2 * IFERROR(VLOOKUP("electricity|PM25|Premature mortality", US_national_yearly!$D:$AM, 27, FALSE) / VLOOKUP("electricity|PM25|Premature mortality", US_national_yearly!$D:$AM, 10, FALSE), 1)</f>
        <v>3.2719295107391279E-2</v>
      </c>
      <c r="T2" s="7">
        <f>$B2 * IFERROR(VLOOKUP("electricity|PM25|Premature mortality", US_national_yearly!$D:$AM, 28, FALSE) / VLOOKUP("electricity|PM25|Premature mortality", US_national_yearly!$D:$AM, 10, FALSE), 1)</f>
        <v>3.2914050962121182E-2</v>
      </c>
      <c r="U2" s="7">
        <f>$B2 * IFERROR(VLOOKUP("electricity|PM25|Premature mortality", US_national_yearly!$D:$AM, 29, FALSE) / VLOOKUP("electricity|PM25|Premature mortality", US_national_yearly!$D:$AM, 10, FALSE), 1)</f>
        <v>3.3108806816851105E-2</v>
      </c>
      <c r="V2" s="7">
        <f>$B2 * IFERROR(VLOOKUP("electricity|PM25|Premature mortality", US_national_yearly!$D:$AM, 30, FALSE) / VLOOKUP("electricity|PM25|Premature mortality", US_national_yearly!$D:$AM, 10, FALSE), 1)</f>
        <v>3.3303562671581015E-2</v>
      </c>
      <c r="W2" s="7">
        <f>$B2 * IFERROR(VLOOKUP("electricity|PM25|Premature mortality", US_national_yearly!$D:$AM, 31, FALSE) / VLOOKUP("electricity|PM25|Premature mortality", US_national_yearly!$D:$AM, 10, FALSE), 1)</f>
        <v>3.3498318526310925E-2</v>
      </c>
      <c r="X2" s="7">
        <f>$B2 * IFERROR(VLOOKUP("electricity|PM25|Premature mortality", US_national_yearly!$D:$AM, 32, FALSE) / VLOOKUP("electricity|PM25|Premature mortality", US_national_yearly!$D:$AM, 10, FALSE), 1)</f>
        <v>3.3552420443542855E-2</v>
      </c>
      <c r="Y2" s="7">
        <f>$B2 * IFERROR(VLOOKUP("electricity|PM25|Premature mortality", US_national_yearly!$D:$AM, 33, FALSE) / VLOOKUP("electricity|PM25|Premature mortality", US_national_yearly!$D:$AM, 10, FALSE), 1)</f>
        <v>3.3606522360774785E-2</v>
      </c>
      <c r="Z2" s="7">
        <f>$B2 * IFERROR(VLOOKUP("electricity|PM25|Premature mortality", US_national_yearly!$D:$AM, 34, FALSE) / VLOOKUP("electricity|PM25|Premature mortality", US_national_yearly!$D:$AM, 10, FALSE), 1)</f>
        <v>3.3660624278006715E-2</v>
      </c>
      <c r="AA2" s="7">
        <f>$B2 * IFERROR(VLOOKUP("electricity|PM25|Premature mortality", US_national_yearly!$D:$AM, 35, FALSE) / VLOOKUP("electricity|PM25|Premature mortality", US_national_yearly!$D:$AM, 10, FALSE), 1)</f>
        <v>3.3714726195238652E-2</v>
      </c>
      <c r="AB2" s="7">
        <f>$B2 * IFERROR(VLOOKUP("electricity|PM25|Premature mortality", US_national_yearly!$D:$AM, 36, FALSE) / VLOOKUP("electricity|PM25|Premature mortality", US_national_yearly!$D:$AM, 10, FALSE), 1)</f>
        <v>3.3768828112470582E-2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4.0062440281169769E-5</v>
      </c>
      <c r="C3" s="7">
        <f>$B3 * IFERROR(VLOOKUP("electricity|PM25|Infant mortality", US_national_yearly!$D:$AM, 11, FALSE) / VLOOKUP("electricity|PM25|Infant mortality", US_national_yearly!$D:$AM, 10, FALSE), 1)</f>
        <v>3.9713376339912864E-5</v>
      </c>
      <c r="D3" s="7">
        <f>$B3 * IFERROR(VLOOKUP("electricity|PM25|Infant mortality", US_national_yearly!$D:$AM, 12, FALSE) / VLOOKUP("electricity|PM25|Infant mortality", US_national_yearly!$D:$AM, 10, FALSE), 1)</f>
        <v>3.9364312398655967E-5</v>
      </c>
      <c r="E3" s="7">
        <f>$B3 * IFERROR(VLOOKUP("electricity|PM25|Infant mortality", US_national_yearly!$D:$AM, 13, FALSE) / VLOOKUP("electricity|PM25|Infant mortality", US_national_yearly!$D:$AM, 10, FALSE), 1)</f>
        <v>3.9015248457399055E-5</v>
      </c>
      <c r="F3" s="7">
        <f>$B3 * IFERROR(VLOOKUP("electricity|PM25|Infant mortality", US_national_yearly!$D:$AM, 14, FALSE) / VLOOKUP("electricity|PM25|Infant mortality", US_national_yearly!$D:$AM, 10, FALSE), 1)</f>
        <v>3.8666184516142151E-5</v>
      </c>
      <c r="G3" s="7">
        <f>$B3 * IFERROR(VLOOKUP("electricity|PM25|Infant mortality", US_national_yearly!$D:$AM, 15, FALSE) / VLOOKUP("electricity|PM25|Infant mortality", US_national_yearly!$D:$AM, 10, FALSE), 1)</f>
        <v>2.5642208407393498E-5</v>
      </c>
      <c r="H3" s="7">
        <f>$B3 * IFERROR(VLOOKUP("electricity|PM25|Infant mortality", US_national_yearly!$D:$AM, 16, FALSE) / VLOOKUP("electricity|PM25|Infant mortality", US_national_yearly!$D:$AM, 10, FALSE), 1)</f>
        <v>1.2618232298644847E-5</v>
      </c>
      <c r="I3" s="7">
        <f>$B3 * IFERROR(VLOOKUP("electricity|PM25|Infant mortality", US_national_yearly!$D:$AM, 17, FALSE) / VLOOKUP("electricity|PM25|Infant mortality", US_national_yearly!$D:$AM, 10, FALSE), 1)</f>
        <v>1.2529141796635297E-5</v>
      </c>
      <c r="J3" s="7">
        <f>$B3 * IFERROR(VLOOKUP("electricity|PM25|Infant mortality", US_national_yearly!$D:$AM, 18, FALSE) / VLOOKUP("electricity|PM25|Infant mortality", US_national_yearly!$D:$AM, 10, FALSE), 1)</f>
        <v>1.2440051294625751E-5</v>
      </c>
      <c r="K3" s="7">
        <f>$B3 * IFERROR(VLOOKUP("electricity|PM25|Infant mortality", US_national_yearly!$D:$AM, 19, FALSE) / VLOOKUP("electricity|PM25|Infant mortality", US_national_yearly!$D:$AM, 10, FALSE), 1)</f>
        <v>1.2350960792616201E-5</v>
      </c>
      <c r="L3" s="7">
        <f>$B3 * IFERROR(VLOOKUP("electricity|PM25|Infant mortality", US_national_yearly!$D:$AM, 20, FALSE) / VLOOKUP("electricity|PM25|Infant mortality", US_national_yearly!$D:$AM, 10, FALSE), 1)</f>
        <v>1.2261870290606653E-5</v>
      </c>
      <c r="M3" s="7">
        <f>$B3 * IFERROR(VLOOKUP("electricity|PM25|Infant mortality", US_national_yearly!$D:$AM, 21, FALSE) / VLOOKUP("electricity|PM25|Infant mortality", US_national_yearly!$D:$AM, 10, FALSE), 1)</f>
        <v>1.2172779788597105E-5</v>
      </c>
      <c r="N3" s="7">
        <f>$B3 * IFERROR(VLOOKUP("electricity|PM25|Infant mortality", US_national_yearly!$D:$AM, 22, FALSE) / VLOOKUP("electricity|PM25|Infant mortality", US_national_yearly!$D:$AM, 10, FALSE), 1)</f>
        <v>1.2115482767464458E-5</v>
      </c>
      <c r="O3" s="7">
        <f>$B3 * IFERROR(VLOOKUP("electricity|PM25|Infant mortality", US_national_yearly!$D:$AM, 23, FALSE) / VLOOKUP("electricity|PM25|Infant mortality", US_national_yearly!$D:$AM, 10, FALSE), 1)</f>
        <v>1.2058185746331809E-5</v>
      </c>
      <c r="P3" s="7">
        <f>$B3 * IFERROR(VLOOKUP("electricity|PM25|Infant mortality", US_national_yearly!$D:$AM, 24, FALSE) / VLOOKUP("electricity|PM25|Infant mortality", US_national_yearly!$D:$AM, 10, FALSE), 1)</f>
        <v>1.200088872519916E-5</v>
      </c>
      <c r="Q3" s="7">
        <f>$B3 * IFERROR(VLOOKUP("electricity|PM25|Infant mortality", US_national_yearly!$D:$AM, 25, FALSE) / VLOOKUP("electricity|PM25|Infant mortality", US_national_yearly!$D:$AM, 10, FALSE), 1)</f>
        <v>1.1943591704066511E-5</v>
      </c>
      <c r="R3" s="7">
        <f>$B3 * IFERROR(VLOOKUP("electricity|PM25|Infant mortality", US_national_yearly!$D:$AM, 26, FALSE) / VLOOKUP("electricity|PM25|Infant mortality", US_national_yearly!$D:$AM, 10, FALSE), 1)</f>
        <v>1.1886294682933861E-5</v>
      </c>
      <c r="S3" s="7">
        <f>$B3 * IFERROR(VLOOKUP("electricity|PM25|Infant mortality", US_national_yearly!$D:$AM, 27, FALSE) / VLOOKUP("electricity|PM25|Infant mortality", US_national_yearly!$D:$AM, 10, FALSE), 1)</f>
        <v>1.1817651571228082E-5</v>
      </c>
      <c r="T3" s="7">
        <f>$B3 * IFERROR(VLOOKUP("electricity|PM25|Infant mortality", US_national_yearly!$D:$AM, 28, FALSE) / VLOOKUP("electricity|PM25|Infant mortality", US_national_yearly!$D:$AM, 10, FALSE), 1)</f>
        <v>1.1749008459522305E-5</v>
      </c>
      <c r="U3" s="7">
        <f>$B3 * IFERROR(VLOOKUP("electricity|PM25|Infant mortality", US_national_yearly!$D:$AM, 29, FALSE) / VLOOKUP("electricity|PM25|Infant mortality", US_national_yearly!$D:$AM, 10, FALSE), 1)</f>
        <v>1.1680365347816529E-5</v>
      </c>
      <c r="V3" s="7">
        <f>$B3 * IFERROR(VLOOKUP("electricity|PM25|Infant mortality", US_national_yearly!$D:$AM, 30, FALSE) / VLOOKUP("electricity|PM25|Infant mortality", US_national_yearly!$D:$AM, 10, FALSE), 1)</f>
        <v>1.1611722236110752E-5</v>
      </c>
      <c r="W3" s="7">
        <f>$B3 * IFERROR(VLOOKUP("electricity|PM25|Infant mortality", US_national_yearly!$D:$AM, 31, FALSE) / VLOOKUP("electricity|PM25|Infant mortality", US_national_yearly!$D:$AM, 10, FALSE), 1)</f>
        <v>1.1543079124404975E-5</v>
      </c>
      <c r="X3" s="7">
        <f>$B3 * IFERROR(VLOOKUP("electricity|PM25|Infant mortality", US_national_yearly!$D:$AM, 32, FALSE) / VLOOKUP("electricity|PM25|Infant mortality", US_national_yearly!$D:$AM, 10, FALSE), 1)</f>
        <v>1.1472145038941294E-5</v>
      </c>
      <c r="Y3" s="7">
        <f>$B3 * IFERROR(VLOOKUP("electricity|PM25|Infant mortality", US_national_yearly!$D:$AM, 33, FALSE) / VLOOKUP("electricity|PM25|Infant mortality", US_national_yearly!$D:$AM, 10, FALSE), 1)</f>
        <v>1.1401210953477614E-5</v>
      </c>
      <c r="Z3" s="7">
        <f>$B3 * IFERROR(VLOOKUP("electricity|PM25|Infant mortality", US_national_yearly!$D:$AM, 34, FALSE) / VLOOKUP("electricity|PM25|Infant mortality", US_national_yearly!$D:$AM, 10, FALSE), 1)</f>
        <v>1.1330276868013933E-5</v>
      </c>
      <c r="AA3" s="7">
        <f>$B3 * IFERROR(VLOOKUP("electricity|PM25|Infant mortality", US_national_yearly!$D:$AM, 35, FALSE) / VLOOKUP("electricity|PM25|Infant mortality", US_national_yearly!$D:$AM, 10, FALSE), 1)</f>
        <v>1.1259342782550252E-5</v>
      </c>
      <c r="AB3" s="7">
        <f>$B3 * IFERROR(VLOOKUP("electricity|PM25|Infant mortality", US_national_yearly!$D:$AM, 36, FALSE) / VLOOKUP("electricity|PM25|Infant mortality", US_national_yearly!$D:$AM, 10, FALSE), 1)</f>
        <v>1.118840869708657E-5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6.3144441579954927E-2</v>
      </c>
      <c r="C6" s="7">
        <f>$B6 * IFERROR(VLOOKUP("electricity|PM25|Asthma symptoms cough", US_national_yearly!$D:$AM, 11, FALSE) / VLOOKUP("electricity|PM25|Asthma symptoms cough", US_national_yearly!$D:$AM, 10, FALSE), 1)</f>
        <v>6.3144441579954927E-2</v>
      </c>
      <c r="D6" s="7">
        <f>$B6 * IFERROR(VLOOKUP("electricity|PM25|Asthma symptoms cough", US_national_yearly!$D:$AM, 12, FALSE) / VLOOKUP("electricity|PM25|Asthma symptoms cough", US_national_yearly!$D:$AM, 10, FALSE), 1)</f>
        <v>6.3144441579954927E-2</v>
      </c>
      <c r="E6" s="7">
        <f>$B6 * IFERROR(VLOOKUP("electricity|PM25|Asthma symptoms cough", US_national_yearly!$D:$AM, 13, FALSE) / VLOOKUP("electricity|PM25|Asthma symptoms cough", US_national_yearly!$D:$AM, 10, FALSE), 1)</f>
        <v>6.3144441579954927E-2</v>
      </c>
      <c r="F6" s="7">
        <f>$B6 * IFERROR(VLOOKUP("electricity|PM25|Asthma symptoms cough", US_national_yearly!$D:$AM, 14, FALSE) / VLOOKUP("electricity|PM25|Asthma symptoms cough", US_national_yearly!$D:$AM, 10, FALSE), 1)</f>
        <v>6.3144441579954927E-2</v>
      </c>
      <c r="G6" s="7">
        <f>$B6 * IFERROR(VLOOKUP("electricity|PM25|Asthma symptoms cough", US_national_yearly!$D:$AM, 15, FALSE) / VLOOKUP("electricity|PM25|Asthma symptoms cough", US_national_yearly!$D:$AM, 10, FALSE), 1)</f>
        <v>6.3144441579954927E-2</v>
      </c>
      <c r="H6" s="7">
        <f>$B6 * IFERROR(VLOOKUP("electricity|PM25|Asthma symptoms cough", US_national_yearly!$D:$AM, 16, FALSE) / VLOOKUP("electricity|PM25|Asthma symptoms cough", US_national_yearly!$D:$AM, 10, FALSE), 1)</f>
        <v>6.3144441579954927E-2</v>
      </c>
      <c r="I6" s="7">
        <f>$B6 * IFERROR(VLOOKUP("electricity|PM25|Asthma symptoms cough", US_national_yearly!$D:$AM, 17, FALSE) / VLOOKUP("electricity|PM25|Asthma symptoms cough", US_national_yearly!$D:$AM, 10, FALSE), 1)</f>
        <v>6.3144441579954927E-2</v>
      </c>
      <c r="J6" s="7">
        <f>$B6 * IFERROR(VLOOKUP("electricity|PM25|Asthma symptoms cough", US_national_yearly!$D:$AM, 18, FALSE) / VLOOKUP("electricity|PM25|Asthma symptoms cough", US_national_yearly!$D:$AM, 10, FALSE), 1)</f>
        <v>6.3144441579954927E-2</v>
      </c>
      <c r="K6" s="7">
        <f>$B6 * IFERROR(VLOOKUP("electricity|PM25|Asthma symptoms cough", US_national_yearly!$D:$AM, 19, FALSE) / VLOOKUP("electricity|PM25|Asthma symptoms cough", US_national_yearly!$D:$AM, 10, FALSE), 1)</f>
        <v>6.3144441579954927E-2</v>
      </c>
      <c r="L6" s="7">
        <f>$B6 * IFERROR(VLOOKUP("electricity|PM25|Asthma symptoms cough", US_national_yearly!$D:$AM, 20, FALSE) / VLOOKUP("electricity|PM25|Asthma symptoms cough", US_national_yearly!$D:$AM, 10, FALSE), 1)</f>
        <v>6.3144441579954927E-2</v>
      </c>
      <c r="M6" s="7">
        <f>$B6 * IFERROR(VLOOKUP("electricity|PM25|Asthma symptoms cough", US_national_yearly!$D:$AM, 21, FALSE) / VLOOKUP("electricity|PM25|Asthma symptoms cough", US_national_yearly!$D:$AM, 10, FALSE), 1)</f>
        <v>6.3144441579954927E-2</v>
      </c>
      <c r="N6" s="7">
        <f>$B6 * IFERROR(VLOOKUP("electricity|PM25|Asthma symptoms cough", US_national_yearly!$D:$AM, 22, FALSE) / VLOOKUP("electricity|PM25|Asthma symptoms cough", US_national_yearly!$D:$AM, 10, FALSE), 1)</f>
        <v>6.3144441579954927E-2</v>
      </c>
      <c r="O6" s="7">
        <f>$B6 * IFERROR(VLOOKUP("electricity|PM25|Asthma symptoms cough", US_national_yearly!$D:$AM, 23, FALSE) / VLOOKUP("electricity|PM25|Asthma symptoms cough", US_national_yearly!$D:$AM, 10, FALSE), 1)</f>
        <v>6.3144441579954927E-2</v>
      </c>
      <c r="P6" s="7">
        <f>$B6 * IFERROR(VLOOKUP("electricity|PM25|Asthma symptoms cough", US_national_yearly!$D:$AM, 24, FALSE) / VLOOKUP("electricity|PM25|Asthma symptoms cough", US_national_yearly!$D:$AM, 10, FALSE), 1)</f>
        <v>6.3144441579954927E-2</v>
      </c>
      <c r="Q6" s="7">
        <f>$B6 * IFERROR(VLOOKUP("electricity|PM25|Asthma symptoms cough", US_national_yearly!$D:$AM, 25, FALSE) / VLOOKUP("electricity|PM25|Asthma symptoms cough", US_national_yearly!$D:$AM, 10, FALSE), 1)</f>
        <v>6.3144441579954927E-2</v>
      </c>
      <c r="R6" s="7">
        <f>$B6 * IFERROR(VLOOKUP("electricity|PM25|Asthma symptoms cough", US_national_yearly!$D:$AM, 26, FALSE) / VLOOKUP("electricity|PM25|Asthma symptoms cough", US_national_yearly!$D:$AM, 10, FALSE), 1)</f>
        <v>6.3144441579954927E-2</v>
      </c>
      <c r="S6" s="7">
        <f>$B6 * IFERROR(VLOOKUP("electricity|PM25|Asthma symptoms cough", US_national_yearly!$D:$AM, 27, FALSE) / VLOOKUP("electricity|PM25|Asthma symptoms cough", US_national_yearly!$D:$AM, 10, FALSE), 1)</f>
        <v>6.3144441579954927E-2</v>
      </c>
      <c r="T6" s="7">
        <f>$B6 * IFERROR(VLOOKUP("electricity|PM25|Asthma symptoms cough", US_national_yearly!$D:$AM, 28, FALSE) / VLOOKUP("electricity|PM25|Asthma symptoms cough", US_national_yearly!$D:$AM, 10, FALSE), 1)</f>
        <v>6.3144441579954927E-2</v>
      </c>
      <c r="U6" s="7">
        <f>$B6 * IFERROR(VLOOKUP("electricity|PM25|Asthma symptoms cough", US_national_yearly!$D:$AM, 29, FALSE) / VLOOKUP("electricity|PM25|Asthma symptoms cough", US_national_yearly!$D:$AM, 10, FALSE), 1)</f>
        <v>6.3144441579954927E-2</v>
      </c>
      <c r="V6" s="7">
        <f>$B6 * IFERROR(VLOOKUP("electricity|PM25|Asthma symptoms cough", US_national_yearly!$D:$AM, 30, FALSE) / VLOOKUP("electricity|PM25|Asthma symptoms cough", US_national_yearly!$D:$AM, 10, FALSE), 1)</f>
        <v>6.3144441579954927E-2</v>
      </c>
      <c r="W6" s="7">
        <f>$B6 * IFERROR(VLOOKUP("electricity|PM25|Asthma symptoms cough", US_national_yearly!$D:$AM, 31, FALSE) / VLOOKUP("electricity|PM25|Asthma symptoms cough", US_national_yearly!$D:$AM, 10, FALSE), 1)</f>
        <v>6.3144441579954927E-2</v>
      </c>
      <c r="X6" s="7">
        <f>$B6 * IFERROR(VLOOKUP("electricity|PM25|Asthma symptoms cough", US_national_yearly!$D:$AM, 32, FALSE) / VLOOKUP("electricity|PM25|Asthma symptoms cough", US_national_yearly!$D:$AM, 10, FALSE), 1)</f>
        <v>6.3144441579954927E-2</v>
      </c>
      <c r="Y6" s="7">
        <f>$B6 * IFERROR(VLOOKUP("electricity|PM25|Asthma symptoms cough", US_national_yearly!$D:$AM, 33, FALSE) / VLOOKUP("electricity|PM25|Asthma symptoms cough", US_national_yearly!$D:$AM, 10, FALSE), 1)</f>
        <v>6.3144441579954927E-2</v>
      </c>
      <c r="Z6" s="7">
        <f>$B6 * IFERROR(VLOOKUP("electricity|PM25|Asthma symptoms cough", US_national_yearly!$D:$AM, 34, FALSE) / VLOOKUP("electricity|PM25|Asthma symptoms cough", US_national_yearly!$D:$AM, 10, FALSE), 1)</f>
        <v>6.3144441579954927E-2</v>
      </c>
      <c r="AA6" s="7">
        <f>$B6 * IFERROR(VLOOKUP("electricity|PM25|Asthma symptoms cough", US_national_yearly!$D:$AM, 35, FALSE) / VLOOKUP("electricity|PM25|Asthma symptoms cough", US_national_yearly!$D:$AM, 10, FALSE), 1)</f>
        <v>6.3144441579954927E-2</v>
      </c>
      <c r="AB6" s="7">
        <f>$B6 * IFERROR(VLOOKUP("electricity|PM25|Asthma symptoms cough", US_national_yearly!$D:$AM, 36, FALSE) / VLOOKUP("electricity|PM25|Asthma symptoms cough", US_national_yearly!$D:$AM, 10, FALSE), 1)</f>
        <v>6.3144441579954927E-2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8.503290572255652E-2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8.503290572255652E-2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8.503290572255652E-2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8.503290572255652E-2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8.503290572255652E-2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8.503290572255652E-2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8.503290572255652E-2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8.503290572255652E-2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8.503290572255652E-2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8.503290572255652E-2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8.503290572255652E-2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8.503290572255652E-2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8.503290572255652E-2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8.503290572255652E-2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8.503290572255652E-2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8.503290572255652E-2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8.503290572255652E-2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8.503290572255652E-2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8.503290572255652E-2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8.503290572255652E-2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8.503290572255652E-2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8.503290572255652E-2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8.503290572255652E-2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8.503290572255652E-2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8.503290572255652E-2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8.503290572255652E-2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8.503290572255652E-2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0.12991675136477338</v>
      </c>
      <c r="C8" s="7">
        <f>$B8 * IFERROR(VLOOKUP("electricity|PM25|Asthma symptoms wheeze", US_national_yearly!$D:$AM, 11, FALSE) / VLOOKUP("electricity|PM25|Asthma symptoms wheeze", US_national_yearly!$D:$AM, 10, FALSE), 1)</f>
        <v>0.12991675136477338</v>
      </c>
      <c r="D8" s="7">
        <f>$B8 * IFERROR(VLOOKUP("electricity|PM25|Asthma symptoms wheeze", US_national_yearly!$D:$AM, 12, FALSE) / VLOOKUP("electricity|PM25|Asthma symptoms wheeze", US_national_yearly!$D:$AM, 10, FALSE), 1)</f>
        <v>0.12991675136477338</v>
      </c>
      <c r="E8" s="7">
        <f>$B8 * IFERROR(VLOOKUP("electricity|PM25|Asthma symptoms wheeze", US_national_yearly!$D:$AM, 13, FALSE) / VLOOKUP("electricity|PM25|Asthma symptoms wheeze", US_national_yearly!$D:$AM, 10, FALSE), 1)</f>
        <v>0.12991675136477338</v>
      </c>
      <c r="F8" s="7">
        <f>$B8 * IFERROR(VLOOKUP("electricity|PM25|Asthma symptoms wheeze", US_national_yearly!$D:$AM, 14, FALSE) / VLOOKUP("electricity|PM25|Asthma symptoms wheeze", US_national_yearly!$D:$AM, 10, FALSE), 1)</f>
        <v>0.12991675136477338</v>
      </c>
      <c r="G8" s="7">
        <f>$B8 * IFERROR(VLOOKUP("electricity|PM25|Asthma symptoms wheeze", US_national_yearly!$D:$AM, 15, FALSE) / VLOOKUP("electricity|PM25|Asthma symptoms wheeze", US_national_yearly!$D:$AM, 10, FALSE), 1)</f>
        <v>0.12991675136477338</v>
      </c>
      <c r="H8" s="7">
        <f>$B8 * IFERROR(VLOOKUP("electricity|PM25|Asthma symptoms wheeze", US_national_yearly!$D:$AM, 16, FALSE) / VLOOKUP("electricity|PM25|Asthma symptoms wheeze", US_national_yearly!$D:$AM, 10, FALSE), 1)</f>
        <v>0.12991675136477338</v>
      </c>
      <c r="I8" s="7">
        <f>$B8 * IFERROR(VLOOKUP("electricity|PM25|Asthma symptoms wheeze", US_national_yearly!$D:$AM, 17, FALSE) / VLOOKUP("electricity|PM25|Asthma symptoms wheeze", US_national_yearly!$D:$AM, 10, FALSE), 1)</f>
        <v>0.12991675136477338</v>
      </c>
      <c r="J8" s="7">
        <f>$B8 * IFERROR(VLOOKUP("electricity|PM25|Asthma symptoms wheeze", US_national_yearly!$D:$AM, 18, FALSE) / VLOOKUP("electricity|PM25|Asthma symptoms wheeze", US_national_yearly!$D:$AM, 10, FALSE), 1)</f>
        <v>0.12991675136477338</v>
      </c>
      <c r="K8" s="7">
        <f>$B8 * IFERROR(VLOOKUP("electricity|PM25|Asthma symptoms wheeze", US_national_yearly!$D:$AM, 19, FALSE) / VLOOKUP("electricity|PM25|Asthma symptoms wheeze", US_national_yearly!$D:$AM, 10, FALSE), 1)</f>
        <v>0.12991675136477338</v>
      </c>
      <c r="L8" s="7">
        <f>$B8 * IFERROR(VLOOKUP("electricity|PM25|Asthma symptoms wheeze", US_national_yearly!$D:$AM, 20, FALSE) / VLOOKUP("electricity|PM25|Asthma symptoms wheeze", US_national_yearly!$D:$AM, 10, FALSE), 1)</f>
        <v>0.12991675136477338</v>
      </c>
      <c r="M8" s="7">
        <f>$B8 * IFERROR(VLOOKUP("electricity|PM25|Asthma symptoms wheeze", US_national_yearly!$D:$AM, 21, FALSE) / VLOOKUP("electricity|PM25|Asthma symptoms wheeze", US_national_yearly!$D:$AM, 10, FALSE), 1)</f>
        <v>0.12991675136477338</v>
      </c>
      <c r="N8" s="7">
        <f>$B8 * IFERROR(VLOOKUP("electricity|PM25|Asthma symptoms wheeze", US_national_yearly!$D:$AM, 22, FALSE) / VLOOKUP("electricity|PM25|Asthma symptoms wheeze", US_national_yearly!$D:$AM, 10, FALSE), 1)</f>
        <v>0.12991675136477338</v>
      </c>
      <c r="O8" s="7">
        <f>$B8 * IFERROR(VLOOKUP("electricity|PM25|Asthma symptoms wheeze", US_national_yearly!$D:$AM, 23, FALSE) / VLOOKUP("electricity|PM25|Asthma symptoms wheeze", US_national_yearly!$D:$AM, 10, FALSE), 1)</f>
        <v>0.12991675136477338</v>
      </c>
      <c r="P8" s="7">
        <f>$B8 * IFERROR(VLOOKUP("electricity|PM25|Asthma symptoms wheeze", US_national_yearly!$D:$AM, 24, FALSE) / VLOOKUP("electricity|PM25|Asthma symptoms wheeze", US_national_yearly!$D:$AM, 10, FALSE), 1)</f>
        <v>0.12991675136477338</v>
      </c>
      <c r="Q8" s="7">
        <f>$B8 * IFERROR(VLOOKUP("electricity|PM25|Asthma symptoms wheeze", US_national_yearly!$D:$AM, 25, FALSE) / VLOOKUP("electricity|PM25|Asthma symptoms wheeze", US_national_yearly!$D:$AM, 10, FALSE), 1)</f>
        <v>0.12991675136477338</v>
      </c>
      <c r="R8" s="7">
        <f>$B8 * IFERROR(VLOOKUP("electricity|PM25|Asthma symptoms wheeze", US_national_yearly!$D:$AM, 26, FALSE) / VLOOKUP("electricity|PM25|Asthma symptoms wheeze", US_national_yearly!$D:$AM, 10, FALSE), 1)</f>
        <v>0.12991675136477338</v>
      </c>
      <c r="S8" s="7">
        <f>$B8 * IFERROR(VLOOKUP("electricity|PM25|Asthma symptoms wheeze", US_national_yearly!$D:$AM, 27, FALSE) / VLOOKUP("electricity|PM25|Asthma symptoms wheeze", US_national_yearly!$D:$AM, 10, FALSE), 1)</f>
        <v>0.12991675136477338</v>
      </c>
      <c r="T8" s="7">
        <f>$B8 * IFERROR(VLOOKUP("electricity|PM25|Asthma symptoms wheeze", US_national_yearly!$D:$AM, 28, FALSE) / VLOOKUP("electricity|PM25|Asthma symptoms wheeze", US_national_yearly!$D:$AM, 10, FALSE), 1)</f>
        <v>0.12991675136477338</v>
      </c>
      <c r="U8" s="7">
        <f>$B8 * IFERROR(VLOOKUP("electricity|PM25|Asthma symptoms wheeze", US_national_yearly!$D:$AM, 29, FALSE) / VLOOKUP("electricity|PM25|Asthma symptoms wheeze", US_national_yearly!$D:$AM, 10, FALSE), 1)</f>
        <v>0.12991675136477338</v>
      </c>
      <c r="V8" s="7">
        <f>$B8 * IFERROR(VLOOKUP("electricity|PM25|Asthma symptoms wheeze", US_national_yearly!$D:$AM, 30, FALSE) / VLOOKUP("electricity|PM25|Asthma symptoms wheeze", US_national_yearly!$D:$AM, 10, FALSE), 1)</f>
        <v>0.12991675136477338</v>
      </c>
      <c r="W8" s="7">
        <f>$B8 * IFERROR(VLOOKUP("electricity|PM25|Asthma symptoms wheeze", US_national_yearly!$D:$AM, 31, FALSE) / VLOOKUP("electricity|PM25|Asthma symptoms wheeze", US_national_yearly!$D:$AM, 10, FALSE), 1)</f>
        <v>0.12991675136477338</v>
      </c>
      <c r="X8" s="7">
        <f>$B8 * IFERROR(VLOOKUP("electricity|PM25|Asthma symptoms wheeze", US_national_yearly!$D:$AM, 32, FALSE) / VLOOKUP("electricity|PM25|Asthma symptoms wheeze", US_national_yearly!$D:$AM, 10, FALSE), 1)</f>
        <v>0.12991675136477338</v>
      </c>
      <c r="Y8" s="7">
        <f>$B8 * IFERROR(VLOOKUP("electricity|PM25|Asthma symptoms wheeze", US_national_yearly!$D:$AM, 33, FALSE) / VLOOKUP("electricity|PM25|Asthma symptoms wheeze", US_national_yearly!$D:$AM, 10, FALSE), 1)</f>
        <v>0.12991675136477338</v>
      </c>
      <c r="Z8" s="7">
        <f>$B8 * IFERROR(VLOOKUP("electricity|PM25|Asthma symptoms wheeze", US_national_yearly!$D:$AM, 34, FALSE) / VLOOKUP("electricity|PM25|Asthma symptoms wheeze", US_national_yearly!$D:$AM, 10, FALSE), 1)</f>
        <v>0.12991675136477338</v>
      </c>
      <c r="AA8" s="7">
        <f>$B8 * IFERROR(VLOOKUP("electricity|PM25|Asthma symptoms wheeze", US_national_yearly!$D:$AM, 35, FALSE) / VLOOKUP("electricity|PM25|Asthma symptoms wheeze", US_national_yearly!$D:$AM, 10, FALSE), 1)</f>
        <v>0.12991675136477338</v>
      </c>
      <c r="AB8" s="7">
        <f>$B8 * IFERROR(VLOOKUP("electricity|PM25|Asthma symptoms wheeze", US_national_yearly!$D:$AM, 36, FALSE) / VLOOKUP("electricity|PM25|Asthma symptoms wheeze", US_national_yearly!$D:$AM, 10, FALSE), 1)</f>
        <v>0.12991675136477338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2.0958990162166019E-3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2.1074178220517399E-3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2.1189366278868776E-3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2.1304554337220161E-3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2.1419742395571537E-3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2.1543221162718786E-3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2.1666699929866035E-3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2.1777015593854509E-3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2.1887331257842979E-3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2.1997646921831449E-3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2.2107962585819919E-3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2.2218278249808397E-3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2.2292690082403917E-3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2.2367101914999442E-3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2.2441513747594971E-3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2.2515925580190491E-3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2.259033741278602E-3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2.2659678834132989E-3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2.2729020255479954E-3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2.2798361676826919E-3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2.2867703098173888E-3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2.2937044519520848E-3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2.3005609980164704E-3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2.3074175440808554E-3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2.3142740901452401E-3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2.3211306362096252E-3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2.3279871822740102E-3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1.1713766636768584E-2</v>
      </c>
      <c r="C13" s="7">
        <f>$B13 * IFERROR(VLOOKUP("electricity|PM25|Non-fatal heart attacks", US_national_yearly!$D:$AM, 11, FALSE) / VLOOKUP("electricity|PM25|Non-fatal heart attacks", US_national_yearly!$D:$AM, 10, FALSE), 1)</f>
        <v>1.2053053800272166E-2</v>
      </c>
      <c r="D13" s="7">
        <f>$B13 * IFERROR(VLOOKUP("electricity|PM25|Non-fatal heart attacks", US_national_yearly!$D:$AM, 12, FALSE) / VLOOKUP("electricity|PM25|Non-fatal heart attacks", US_national_yearly!$D:$AM, 10, FALSE), 1)</f>
        <v>1.2392340963775745E-2</v>
      </c>
      <c r="E13" s="7">
        <f>$B13 * IFERROR(VLOOKUP("electricity|PM25|Non-fatal heart attacks", US_national_yearly!$D:$AM, 13, FALSE) / VLOOKUP("electricity|PM25|Non-fatal heart attacks", US_national_yearly!$D:$AM, 10, FALSE), 1)</f>
        <v>1.2731628127279323E-2</v>
      </c>
      <c r="F13" s="7">
        <f>$B13 * IFERROR(VLOOKUP("electricity|PM25|Non-fatal heart attacks", US_national_yearly!$D:$AM, 14, FALSE) / VLOOKUP("electricity|PM25|Non-fatal heart attacks", US_national_yearly!$D:$AM, 10, FALSE), 1)</f>
        <v>1.3070915290782904E-2</v>
      </c>
      <c r="G13" s="7">
        <f>$B13 * IFERROR(VLOOKUP("electricity|PM25|Non-fatal heart attacks", US_national_yearly!$D:$AM, 15, FALSE) / VLOOKUP("electricity|PM25|Non-fatal heart attacks", US_national_yearly!$D:$AM, 10, FALSE), 1)</f>
        <v>1.3392955468487863E-2</v>
      </c>
      <c r="H13" s="7">
        <f>$B13 * IFERROR(VLOOKUP("electricity|PM25|Non-fatal heart attacks", US_national_yearly!$D:$AM, 16, FALSE) / VLOOKUP("electricity|PM25|Non-fatal heart attacks", US_national_yearly!$D:$AM, 10, FALSE), 1)</f>
        <v>1.3714995646192819E-2</v>
      </c>
      <c r="I13" s="7">
        <f>$B13 * IFERROR(VLOOKUP("electricity|PM25|Non-fatal heart attacks", US_national_yearly!$D:$AM, 17, FALSE) / VLOOKUP("electricity|PM25|Non-fatal heart attacks", US_national_yearly!$D:$AM, 10, FALSE), 1)</f>
        <v>1.3977742412556556E-2</v>
      </c>
      <c r="J13" s="7">
        <f>$B13 * IFERROR(VLOOKUP("electricity|PM25|Non-fatal heart attacks", US_national_yearly!$D:$AM, 18, FALSE) / VLOOKUP("electricity|PM25|Non-fatal heart attacks", US_national_yearly!$D:$AM, 10, FALSE), 1)</f>
        <v>1.4240489178920292E-2</v>
      </c>
      <c r="K13" s="7">
        <f>$B13 * IFERROR(VLOOKUP("electricity|PM25|Non-fatal heart attacks", US_national_yearly!$D:$AM, 19, FALSE) / VLOOKUP("electricity|PM25|Non-fatal heart attacks", US_national_yearly!$D:$AM, 10, FALSE), 1)</f>
        <v>1.4503235945284026E-2</v>
      </c>
      <c r="L13" s="7">
        <f>$B13 * IFERROR(VLOOKUP("electricity|PM25|Non-fatal heart attacks", US_national_yearly!$D:$AM, 20, FALSE) / VLOOKUP("electricity|PM25|Non-fatal heart attacks", US_national_yearly!$D:$AM, 10, FALSE), 1)</f>
        <v>1.476598271164776E-2</v>
      </c>
      <c r="M13" s="7">
        <f>$B13 * IFERROR(VLOOKUP("electricity|PM25|Non-fatal heart attacks", US_national_yearly!$D:$AM, 21, FALSE) / VLOOKUP("electricity|PM25|Non-fatal heart attacks", US_national_yearly!$D:$AM, 10, FALSE), 1)</f>
        <v>1.5028729478011501E-2</v>
      </c>
      <c r="N13" s="7">
        <f>$B13 * IFERROR(VLOOKUP("electricity|PM25|Non-fatal heart attacks", US_national_yearly!$D:$AM, 22, FALSE) / VLOOKUP("electricity|PM25|Non-fatal heart attacks", US_national_yearly!$D:$AM, 10, FALSE), 1)</f>
        <v>1.5199218210656919E-2</v>
      </c>
      <c r="O13" s="7">
        <f>$B13 * IFERROR(VLOOKUP("electricity|PM25|Non-fatal heart attacks", US_national_yearly!$D:$AM, 23, FALSE) / VLOOKUP("electricity|PM25|Non-fatal heart attacks", US_national_yearly!$D:$AM, 10, FALSE), 1)</f>
        <v>1.5369706943302338E-2</v>
      </c>
      <c r="P13" s="7">
        <f>$B13 * IFERROR(VLOOKUP("electricity|PM25|Non-fatal heart attacks", US_national_yearly!$D:$AM, 24, FALSE) / VLOOKUP("electricity|PM25|Non-fatal heart attacks", US_national_yearly!$D:$AM, 10, FALSE), 1)</f>
        <v>1.5540195675947752E-2</v>
      </c>
      <c r="Q13" s="7">
        <f>$B13 * IFERROR(VLOOKUP("electricity|PM25|Non-fatal heart attacks", US_national_yearly!$D:$AM, 25, FALSE) / VLOOKUP("electricity|PM25|Non-fatal heart attacks", US_national_yearly!$D:$AM, 10, FALSE), 1)</f>
        <v>1.5710684408593172E-2</v>
      </c>
      <c r="R13" s="7">
        <f>$B13 * IFERROR(VLOOKUP("electricity|PM25|Non-fatal heart attacks", US_national_yearly!$D:$AM, 26, FALSE) / VLOOKUP("electricity|PM25|Non-fatal heart attacks", US_national_yearly!$D:$AM, 10, FALSE), 1)</f>
        <v>1.5881173141238589E-2</v>
      </c>
      <c r="S13" s="7">
        <f>$B13 * IFERROR(VLOOKUP("electricity|PM25|Non-fatal heart attacks", US_national_yearly!$D:$AM, 27, FALSE) / VLOOKUP("electricity|PM25|Non-fatal heart attacks", US_national_yearly!$D:$AM, 10, FALSE), 1)</f>
        <v>1.5975031568449673E-2</v>
      </c>
      <c r="T13" s="7">
        <f>$B13 * IFERROR(VLOOKUP("electricity|PM25|Non-fatal heart attacks", US_national_yearly!$D:$AM, 28, FALSE) / VLOOKUP("electricity|PM25|Non-fatal heart attacks", US_national_yearly!$D:$AM, 10, FALSE), 1)</f>
        <v>1.6068889995660758E-2</v>
      </c>
      <c r="U13" s="7">
        <f>$B13 * IFERROR(VLOOKUP("electricity|PM25|Non-fatal heart attacks", US_national_yearly!$D:$AM, 29, FALSE) / VLOOKUP("electricity|PM25|Non-fatal heart attacks", US_national_yearly!$D:$AM, 10, FALSE), 1)</f>
        <v>1.6162748422871843E-2</v>
      </c>
      <c r="V13" s="7">
        <f>$B13 * IFERROR(VLOOKUP("electricity|PM25|Non-fatal heart attacks", US_national_yearly!$D:$AM, 30, FALSE) / VLOOKUP("electricity|PM25|Non-fatal heart attacks", US_national_yearly!$D:$AM, 10, FALSE), 1)</f>
        <v>1.6256606850082924E-2</v>
      </c>
      <c r="W13" s="7">
        <f>$B13 * IFERROR(VLOOKUP("electricity|PM25|Non-fatal heart attacks", US_national_yearly!$D:$AM, 31, FALSE) / VLOOKUP("electricity|PM25|Non-fatal heart attacks", US_national_yearly!$D:$AM, 10, FALSE), 1)</f>
        <v>1.6350465277294012E-2</v>
      </c>
      <c r="X13" s="7">
        <f>$B13 * IFERROR(VLOOKUP("electricity|PM25|Non-fatal heart attacks", US_national_yearly!$D:$AM, 32, FALSE) / VLOOKUP("electricity|PM25|Non-fatal heart attacks", US_national_yearly!$D:$AM, 10, FALSE), 1)</f>
        <v>1.642389220651061E-2</v>
      </c>
      <c r="Y13" s="7">
        <f>$B13 * IFERROR(VLOOKUP("electricity|PM25|Non-fatal heart attacks", US_national_yearly!$D:$AM, 33, FALSE) / VLOOKUP("electricity|PM25|Non-fatal heart attacks", US_national_yearly!$D:$AM, 10, FALSE), 1)</f>
        <v>1.6497319135727211E-2</v>
      </c>
      <c r="Z13" s="7">
        <f>$B13 * IFERROR(VLOOKUP("electricity|PM25|Non-fatal heart attacks", US_national_yearly!$D:$AM, 34, FALSE) / VLOOKUP("electricity|PM25|Non-fatal heart attacks", US_national_yearly!$D:$AM, 10, FALSE), 1)</f>
        <v>1.6570746064943808E-2</v>
      </c>
      <c r="AA13" s="7">
        <f>$B13 * IFERROR(VLOOKUP("electricity|PM25|Non-fatal heart attacks", US_national_yearly!$D:$AM, 35, FALSE) / VLOOKUP("electricity|PM25|Non-fatal heart attacks", US_national_yearly!$D:$AM, 10, FALSE), 1)</f>
        <v>1.6644172994160409E-2</v>
      </c>
      <c r="AB13" s="7">
        <f>$B13 * IFERROR(VLOOKUP("electricity|PM25|Non-fatal heart attacks", US_national_yearly!$D:$AM, 36, FALSE) / VLOOKUP("electricity|PM25|Non-fatal heart attacks", US_national_yearly!$D:$AM, 10, FALSE), 1)</f>
        <v>1.671759992337701E-2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9.0574727290263972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9.0775797096632278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9.0976866903000619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9.1177936709368925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9.1379006515737267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9.1677370809656065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9.1975735103574863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9.2502565201158582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9.3029395298742301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9.3556225396326003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9.408305549390974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9.4609885591493441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9.5340750876708764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9.6071616161924105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9.6802481447139446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9.7533346732354786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9.8264212017570109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9.900138138646307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9.9738550755355995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10.047572012424894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10.12128894931419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10.195005886203484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10.25819668805509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10.321387489906698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10.384578291758306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10.44776909360991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10.51095989546152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1.537115085956311</v>
      </c>
      <c r="C15" s="7">
        <f>$B15 * IFERROR(VLOOKUP("electricity|PM25|Work loss days", US_national_yearly!$D:$AM, 11, FALSE) / VLOOKUP("electricity|PM25|Work loss days", US_national_yearly!$D:$AM, 10, FALSE), 1)</f>
        <v>1.5415136296275258</v>
      </c>
      <c r="D15" s="7">
        <f>$B15 * IFERROR(VLOOKUP("electricity|PM25|Work loss days", US_national_yearly!$D:$AM, 12, FALSE) / VLOOKUP("electricity|PM25|Work loss days", US_national_yearly!$D:$AM, 10, FALSE), 1)</f>
        <v>1.5459121732987409</v>
      </c>
      <c r="E15" s="7">
        <f>$B15 * IFERROR(VLOOKUP("electricity|PM25|Work loss days", US_national_yearly!$D:$AM, 13, FALSE) / VLOOKUP("electricity|PM25|Work loss days", US_national_yearly!$D:$AM, 10, FALSE), 1)</f>
        <v>1.5503107169699557</v>
      </c>
      <c r="F15" s="7">
        <f>$B15 * IFERROR(VLOOKUP("electricity|PM25|Work loss days", US_national_yearly!$D:$AM, 14, FALSE) / VLOOKUP("electricity|PM25|Work loss days", US_national_yearly!$D:$AM, 10, FALSE), 1)</f>
        <v>1.5547092606411705</v>
      </c>
      <c r="G15" s="7">
        <f>$B15 * IFERROR(VLOOKUP("electricity|PM25|Work loss days", US_national_yearly!$D:$AM, 15, FALSE) / VLOOKUP("electricity|PM25|Work loss days", US_national_yearly!$D:$AM, 10, FALSE), 1)</f>
        <v>1.5604073481686673</v>
      </c>
      <c r="H15" s="7">
        <f>$B15 * IFERROR(VLOOKUP("electricity|PM25|Work loss days", US_national_yearly!$D:$AM, 16, FALSE) / VLOOKUP("electricity|PM25|Work loss days", US_national_yearly!$D:$AM, 10, FALSE), 1)</f>
        <v>1.5661054356961643</v>
      </c>
      <c r="I15" s="7">
        <f>$B15 * IFERROR(VLOOKUP("electricity|PM25|Work loss days", US_national_yearly!$D:$AM, 17, FALSE) / VLOOKUP("electricity|PM25|Work loss days", US_national_yearly!$D:$AM, 10, FALSE), 1)</f>
        <v>1.5746715372933275</v>
      </c>
      <c r="J15" s="7">
        <f>$B15 * IFERROR(VLOOKUP("electricity|PM25|Work loss days", US_national_yearly!$D:$AM, 18, FALSE) / VLOOKUP("electricity|PM25|Work loss days", US_national_yearly!$D:$AM, 10, FALSE), 1)</f>
        <v>1.5832376388904903</v>
      </c>
      <c r="K15" s="7">
        <f>$B15 * IFERROR(VLOOKUP("electricity|PM25|Work loss days", US_national_yearly!$D:$AM, 19, FALSE) / VLOOKUP("electricity|PM25|Work loss days", US_national_yearly!$D:$AM, 10, FALSE), 1)</f>
        <v>1.5918037404876535</v>
      </c>
      <c r="L15" s="7">
        <f>$B15 * IFERROR(VLOOKUP("electricity|PM25|Work loss days", US_national_yearly!$D:$AM, 20, FALSE) / VLOOKUP("electricity|PM25|Work loss days", US_national_yearly!$D:$AM, 10, FALSE), 1)</f>
        <v>1.6003698420848167</v>
      </c>
      <c r="M15" s="7">
        <f>$B15 * IFERROR(VLOOKUP("electricity|PM25|Work loss days", US_national_yearly!$D:$AM, 21, FALSE) / VLOOKUP("electricity|PM25|Work loss days", US_national_yearly!$D:$AM, 10, FALSE), 1)</f>
        <v>1.6089359436819799</v>
      </c>
      <c r="N15" s="7">
        <f>$B15 * IFERROR(VLOOKUP("electricity|PM25|Work loss days", US_national_yearly!$D:$AM, 22, FALSE) / VLOOKUP("electricity|PM25|Work loss days", US_national_yearly!$D:$AM, 10, FALSE), 1)</f>
        <v>1.6199953755238981</v>
      </c>
      <c r="O15" s="7">
        <f>$B15 * IFERROR(VLOOKUP("electricity|PM25|Work loss days", US_national_yearly!$D:$AM, 23, FALSE) / VLOOKUP("electricity|PM25|Work loss days", US_national_yearly!$D:$AM, 10, FALSE), 1)</f>
        <v>1.6310548073658162</v>
      </c>
      <c r="P15" s="7">
        <f>$B15 * IFERROR(VLOOKUP("electricity|PM25|Work loss days", US_national_yearly!$D:$AM, 24, FALSE) / VLOOKUP("electricity|PM25|Work loss days", US_national_yearly!$D:$AM, 10, FALSE), 1)</f>
        <v>1.6421142392077339</v>
      </c>
      <c r="Q15" s="7">
        <f>$B15 * IFERROR(VLOOKUP("electricity|PM25|Work loss days", US_national_yearly!$D:$AM, 25, FALSE) / VLOOKUP("electricity|PM25|Work loss days", US_national_yearly!$D:$AM, 10, FALSE), 1)</f>
        <v>1.6531736710496516</v>
      </c>
      <c r="R15" s="7">
        <f>$B15 * IFERROR(VLOOKUP("electricity|PM25|Work loss days", US_national_yearly!$D:$AM, 26, FALSE) / VLOOKUP("electricity|PM25|Work loss days", US_national_yearly!$D:$AM, 10, FALSE), 1)</f>
        <v>1.6642331028915698</v>
      </c>
      <c r="S15" s="7">
        <f>$B15 * IFERROR(VLOOKUP("electricity|PM25|Work loss days", US_national_yearly!$D:$AM, 27, FALSE) / VLOOKUP("electricity|PM25|Work loss days", US_national_yearly!$D:$AM, 10, FALSE), 1)</f>
        <v>1.6765051669843365</v>
      </c>
      <c r="T15" s="7">
        <f>$B15 * IFERROR(VLOOKUP("electricity|PM25|Work loss days", US_national_yearly!$D:$AM, 28, FALSE) / VLOOKUP("electricity|PM25|Work loss days", US_national_yearly!$D:$AM, 10, FALSE), 1)</f>
        <v>1.6887772310771032</v>
      </c>
      <c r="U15" s="7">
        <f>$B15 * IFERROR(VLOOKUP("electricity|PM25|Work loss days", US_national_yearly!$D:$AM, 29, FALSE) / VLOOKUP("electricity|PM25|Work loss days", US_national_yearly!$D:$AM, 10, FALSE), 1)</f>
        <v>1.7010492951698701</v>
      </c>
      <c r="V15" s="7">
        <f>$B15 * IFERROR(VLOOKUP("electricity|PM25|Work loss days", US_national_yearly!$D:$AM, 30, FALSE) / VLOOKUP("electricity|PM25|Work loss days", US_national_yearly!$D:$AM, 10, FALSE), 1)</f>
        <v>1.7133213592626371</v>
      </c>
      <c r="W15" s="7">
        <f>$B15 * IFERROR(VLOOKUP("electricity|PM25|Work loss days", US_national_yearly!$D:$AM, 31, FALSE) / VLOOKUP("electricity|PM25|Work loss days", US_national_yearly!$D:$AM, 10, FALSE), 1)</f>
        <v>1.7255934233554036</v>
      </c>
      <c r="X15" s="7">
        <f>$B15 * IFERROR(VLOOKUP("electricity|PM25|Work loss days", US_national_yearly!$D:$AM, 32, FALSE) / VLOOKUP("electricity|PM25|Work loss days", US_national_yearly!$D:$AM, 10, FALSE), 1)</f>
        <v>1.7364193975527367</v>
      </c>
      <c r="Y15" s="7">
        <f>$B15 * IFERROR(VLOOKUP("electricity|PM25|Work loss days", US_national_yearly!$D:$AM, 33, FALSE) / VLOOKUP("electricity|PM25|Work loss days", US_national_yearly!$D:$AM, 10, FALSE), 1)</f>
        <v>1.7472453717500691</v>
      </c>
      <c r="Z15" s="7">
        <f>$B15 * IFERROR(VLOOKUP("electricity|PM25|Work loss days", US_national_yearly!$D:$AM, 34, FALSE) / VLOOKUP("electricity|PM25|Work loss days", US_national_yearly!$D:$AM, 10, FALSE), 1)</f>
        <v>1.7580713459474018</v>
      </c>
      <c r="AA15" s="7">
        <f>$B15 * IFERROR(VLOOKUP("electricity|PM25|Work loss days", US_national_yearly!$D:$AM, 35, FALSE) / VLOOKUP("electricity|PM25|Work loss days", US_national_yearly!$D:$AM, 10, FALSE), 1)</f>
        <v>1.7688973201447347</v>
      </c>
      <c r="AB15" s="7">
        <f>$B15 * IFERROR(VLOOKUP("electricity|PM25|Work loss days", US_national_yearly!$D:$AM, 36, FALSE) / VLOOKUP("electricity|PM25|Work loss days", US_national_yearly!$D:$AM, 10, FALSE), 1)</f>
        <v>1.7797232943420676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2.6391049408417645E-3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2.7174201402406545E-3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2.7957353396395445E-3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2.8740505390384345E-3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2.9523657384373245E-3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3.027900626759966E-3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3.103435515082608E-3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3.1688698385532615E-3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3.2343041620239146E-3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3.2997384854945677E-3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3.3651728089652208E-3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3.4306071324358739E-3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3.4745935844729082E-3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3.5185800365099421E-3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3.562566488546976E-3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3.6065529405840107E-3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3.6505393926210446E-3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3.6748155742141607E-3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3.6990917558072755E-3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3.7233679374003921E-3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3.7476441189935074E-3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3.7719203005866231E-3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3.7888566795526335E-3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3.8057930585186435E-3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3.8227294374846539E-3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3.8396658164506652E-3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3.8566021954166757E-3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1.9096930128270075E-4</v>
      </c>
      <c r="C2" s="7">
        <f>$B2 * IFERROR(VLOOKUP("electricity|NOx|Premature mortality", US_national_yearly!$D:$AM, 11, FALSE) / VLOOKUP("electricity|NOx|Premature mortality", US_national_yearly!$D:$AM, 10, FALSE), 1)</f>
        <v>1.9385878782978683E-4</v>
      </c>
      <c r="D2" s="7">
        <f>$B2 * IFERROR(VLOOKUP("electricity|NOx|Premature mortality", US_national_yearly!$D:$AM, 12, FALSE) / VLOOKUP("electricity|NOx|Premature mortality", US_national_yearly!$D:$AM, 10, FALSE), 1)</f>
        <v>1.9674827437687295E-4</v>
      </c>
      <c r="E2" s="7">
        <f>$B2 * IFERROR(VLOOKUP("electricity|NOx|Premature mortality", US_national_yearly!$D:$AM, 13, FALSE) / VLOOKUP("electricity|NOx|Premature mortality", US_national_yearly!$D:$AM, 10, FALSE), 1)</f>
        <v>1.9963776092395903E-4</v>
      </c>
      <c r="F2" s="7">
        <f>$B2 * IFERROR(VLOOKUP("electricity|NOx|Premature mortality", US_national_yearly!$D:$AM, 14, FALSE) / VLOOKUP("electricity|NOx|Premature mortality", US_national_yearly!$D:$AM, 10, FALSE), 1)</f>
        <v>2.025272474710451E-4</v>
      </c>
      <c r="G2" s="7">
        <f>$B2 * IFERROR(VLOOKUP("electricity|NOx|Premature mortality", US_national_yearly!$D:$AM, 15, FALSE) / VLOOKUP("electricity|NOx|Premature mortality", US_national_yearly!$D:$AM, 10, FALSE), 1)</f>
        <v>2.076889346172915E-4</v>
      </c>
      <c r="H2" s="7">
        <f>$B2 * IFERROR(VLOOKUP("electricity|NOx|Premature mortality", US_national_yearly!$D:$AM, 16, FALSE) / VLOOKUP("electricity|NOx|Premature mortality", US_national_yearly!$D:$AM, 10, FALSE), 1)</f>
        <v>2.1285062176353784E-4</v>
      </c>
      <c r="I2" s="7">
        <f>$B2 * IFERROR(VLOOKUP("electricity|NOx|Premature mortality", US_national_yearly!$D:$AM, 17, FALSE) / VLOOKUP("electricity|NOx|Premature mortality", US_national_yearly!$D:$AM, 10, FALSE), 1)</f>
        <v>2.1628077488749825E-4</v>
      </c>
      <c r="J2" s="7">
        <f>$B2 * IFERROR(VLOOKUP("electricity|NOx|Premature mortality", US_national_yearly!$D:$AM, 18, FALSE) / VLOOKUP("electricity|NOx|Premature mortality", US_national_yearly!$D:$AM, 10, FALSE), 1)</f>
        <v>2.1971092801145872E-4</v>
      </c>
      <c r="K2" s="7">
        <f>$B2 * IFERROR(VLOOKUP("electricity|NOx|Premature mortality", US_national_yearly!$D:$AM, 19, FALSE) / VLOOKUP("electricity|NOx|Premature mortality", US_national_yearly!$D:$AM, 10, FALSE), 1)</f>
        <v>2.2314108113541913E-4</v>
      </c>
      <c r="L2" s="7">
        <f>$B2 * IFERROR(VLOOKUP("electricity|NOx|Premature mortality", US_national_yearly!$D:$AM, 20, FALSE) / VLOOKUP("electricity|NOx|Premature mortality", US_national_yearly!$D:$AM, 10, FALSE), 1)</f>
        <v>2.2657123425937954E-4</v>
      </c>
      <c r="M2" s="7">
        <f>$B2 * IFERROR(VLOOKUP("electricity|NOx|Premature mortality", US_national_yearly!$D:$AM, 21, FALSE) / VLOOKUP("electricity|NOx|Premature mortality", US_national_yearly!$D:$AM, 10, FALSE), 1)</f>
        <v>2.3000138738333995E-4</v>
      </c>
      <c r="N2" s="7">
        <f>$B2 * IFERROR(VLOOKUP("electricity|NOx|Premature mortality", US_national_yearly!$D:$AM, 22, FALSE) / VLOOKUP("electricity|NOx|Premature mortality", US_national_yearly!$D:$AM, 10, FALSE), 1)</f>
        <v>2.3264814706093609E-4</v>
      </c>
      <c r="O2" s="7">
        <f>$B2 * IFERROR(VLOOKUP("electricity|NOx|Premature mortality", US_national_yearly!$D:$AM, 23, FALSE) / VLOOKUP("electricity|NOx|Premature mortality", US_national_yearly!$D:$AM, 10, FALSE), 1)</f>
        <v>2.3529490673853231E-4</v>
      </c>
      <c r="P2" s="7">
        <f>$B2 * IFERROR(VLOOKUP("electricity|NOx|Premature mortality", US_national_yearly!$D:$AM, 24, FALSE) / VLOOKUP("electricity|NOx|Premature mortality", US_national_yearly!$D:$AM, 10, FALSE), 1)</f>
        <v>2.3794166641612845E-4</v>
      </c>
      <c r="Q2" s="7">
        <f>$B2 * IFERROR(VLOOKUP("electricity|NOx|Premature mortality", US_national_yearly!$D:$AM, 25, FALSE) / VLOOKUP("electricity|NOx|Premature mortality", US_national_yearly!$D:$AM, 10, FALSE), 1)</f>
        <v>2.4058842609372462E-4</v>
      </c>
      <c r="R2" s="7">
        <f>$B2 * IFERROR(VLOOKUP("electricity|NOx|Premature mortality", US_national_yearly!$D:$AM, 26, FALSE) / VLOOKUP("electricity|NOx|Premature mortality", US_national_yearly!$D:$AM, 10, FALSE), 1)</f>
        <v>2.4323518577132076E-4</v>
      </c>
      <c r="S2" s="7">
        <f>$B2 * IFERROR(VLOOKUP("electricity|NOx|Premature mortality", US_national_yearly!$D:$AM, 27, FALSE) / VLOOKUP("electricity|NOx|Premature mortality", US_national_yearly!$D:$AM, 10, FALSE), 1)</f>
        <v>2.4460287731842929E-4</v>
      </c>
      <c r="T2" s="7">
        <f>$B2 * IFERROR(VLOOKUP("electricity|NOx|Premature mortality", US_national_yearly!$D:$AM, 28, FALSE) / VLOOKUP("electricity|NOx|Premature mortality", US_national_yearly!$D:$AM, 10, FALSE), 1)</f>
        <v>2.4597056886553782E-4</v>
      </c>
      <c r="U2" s="7">
        <f>$B2 * IFERROR(VLOOKUP("electricity|NOx|Premature mortality", US_national_yearly!$D:$AM, 29, FALSE) / VLOOKUP("electricity|NOx|Premature mortality", US_national_yearly!$D:$AM, 10, FALSE), 1)</f>
        <v>2.4733826041264641E-4</v>
      </c>
      <c r="V2" s="7">
        <f>$B2 * IFERROR(VLOOKUP("electricity|NOx|Premature mortality", US_national_yearly!$D:$AM, 30, FALSE) / VLOOKUP("electricity|NOx|Premature mortality", US_national_yearly!$D:$AM, 10, FALSE), 1)</f>
        <v>2.4870595195975495E-4</v>
      </c>
      <c r="W2" s="7">
        <f>$B2 * IFERROR(VLOOKUP("electricity|NOx|Premature mortality", US_national_yearly!$D:$AM, 31, FALSE) / VLOOKUP("electricity|NOx|Premature mortality", US_national_yearly!$D:$AM, 10, FALSE), 1)</f>
        <v>2.5007364350686348E-4</v>
      </c>
      <c r="X2" s="7">
        <f>$B2 * IFERROR(VLOOKUP("electricity|NOx|Premature mortality", US_national_yearly!$D:$AM, 32, FALSE) / VLOOKUP("electricity|NOx|Premature mortality", US_national_yearly!$D:$AM, 10, FALSE), 1)</f>
        <v>2.5038305782387759E-4</v>
      </c>
      <c r="Y2" s="7">
        <f>$B2 * IFERROR(VLOOKUP("electricity|NOx|Premature mortality", US_national_yearly!$D:$AM, 33, FALSE) / VLOOKUP("electricity|NOx|Premature mortality", US_national_yearly!$D:$AM, 10, FALSE), 1)</f>
        <v>2.5069247214089171E-4</v>
      </c>
      <c r="Z2" s="7">
        <f>$B2 * IFERROR(VLOOKUP("electricity|NOx|Premature mortality", US_national_yearly!$D:$AM, 34, FALSE) / VLOOKUP("electricity|NOx|Premature mortality", US_national_yearly!$D:$AM, 10, FALSE), 1)</f>
        <v>2.5100188645790588E-4</v>
      </c>
      <c r="AA2" s="7">
        <f>$B2 * IFERROR(VLOOKUP("electricity|NOx|Premature mortality", US_national_yearly!$D:$AM, 35, FALSE) / VLOOKUP("electricity|NOx|Premature mortality", US_national_yearly!$D:$AM, 10, FALSE), 1)</f>
        <v>2.5131130077491994E-4</v>
      </c>
      <c r="AB2" s="7">
        <f>$B2 * IFERROR(VLOOKUP("electricity|NOx|Premature mortality", US_national_yearly!$D:$AM, 36, FALSE) / VLOOKUP("electricity|NOx|Premature mortality", US_national_yearly!$D:$AM, 10, FALSE), 1)</f>
        <v>2.5162071509193405E-4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2.546260635279593E-7</v>
      </c>
      <c r="C3" s="7">
        <f>$B3 * IFERROR(VLOOKUP("electricity|NOx|Infant mortality", US_national_yearly!$D:$AM, 11, FALSE) / VLOOKUP("electricity|NOx|Infant mortality", US_national_yearly!$D:$AM, 10, FALSE), 1)</f>
        <v>2.5224389122267079E-7</v>
      </c>
      <c r="D3" s="7">
        <f>$B3 * IFERROR(VLOOKUP("electricity|NOx|Infant mortality", US_national_yearly!$D:$AM, 12, FALSE) / VLOOKUP("electricity|NOx|Infant mortality", US_national_yearly!$D:$AM, 10, FALSE), 1)</f>
        <v>2.4986171891738224E-7</v>
      </c>
      <c r="E3" s="7">
        <f>$B3 * IFERROR(VLOOKUP("electricity|NOx|Infant mortality", US_national_yearly!$D:$AM, 13, FALSE) / VLOOKUP("electricity|NOx|Infant mortality", US_national_yearly!$D:$AM, 10, FALSE), 1)</f>
        <v>2.4747954661209373E-7</v>
      </c>
      <c r="F3" s="7">
        <f>$B3 * IFERROR(VLOOKUP("electricity|NOx|Infant mortality", US_national_yearly!$D:$AM, 14, FALSE) / VLOOKUP("electricity|NOx|Infant mortality", US_national_yearly!$D:$AM, 10, FALSE), 1)</f>
        <v>2.4509737430680517E-7</v>
      </c>
      <c r="G3" s="7">
        <f>$B3 * IFERROR(VLOOKUP("electricity|NOx|Infant mortality", US_national_yearly!$D:$AM, 15, FALSE) / VLOOKUP("electricity|NOx|Infant mortality", US_national_yearly!$D:$AM, 10, FALSE), 1)</f>
        <v>1.623891534881181E-7</v>
      </c>
      <c r="H3" s="7">
        <f>$B3 * IFERROR(VLOOKUP("electricity|NOx|Infant mortality", US_national_yearly!$D:$AM, 16, FALSE) / VLOOKUP("electricity|NOx|Infant mortality", US_national_yearly!$D:$AM, 10, FALSE), 1)</f>
        <v>7.9680932669431051E-8</v>
      </c>
      <c r="I3" s="7">
        <f>$B3 * IFERROR(VLOOKUP("electricity|NOx|Infant mortality", US_national_yearly!$D:$AM, 17, FALSE) / VLOOKUP("electricity|NOx|Infant mortality", US_national_yearly!$D:$AM, 10, FALSE), 1)</f>
        <v>7.9101449384760775E-8</v>
      </c>
      <c r="J3" s="7">
        <f>$B3 * IFERROR(VLOOKUP("electricity|NOx|Infant mortality", US_national_yearly!$D:$AM, 18, FALSE) / VLOOKUP("electricity|NOx|Infant mortality", US_national_yearly!$D:$AM, 10, FALSE), 1)</f>
        <v>7.8521966100090498E-8</v>
      </c>
      <c r="K3" s="7">
        <f>$B3 * IFERROR(VLOOKUP("electricity|NOx|Infant mortality", US_national_yearly!$D:$AM, 19, FALSE) / VLOOKUP("electricity|NOx|Infant mortality", US_national_yearly!$D:$AM, 10, FALSE), 1)</f>
        <v>7.7942482815420221E-8</v>
      </c>
      <c r="L3" s="7">
        <f>$B3 * IFERROR(VLOOKUP("electricity|NOx|Infant mortality", US_national_yearly!$D:$AM, 20, FALSE) / VLOOKUP("electricity|NOx|Infant mortality", US_national_yearly!$D:$AM, 10, FALSE), 1)</f>
        <v>7.7362999530749944E-8</v>
      </c>
      <c r="M3" s="7">
        <f>$B3 * IFERROR(VLOOKUP("electricity|NOx|Infant mortality", US_national_yearly!$D:$AM, 21, FALSE) / VLOOKUP("electricity|NOx|Infant mortality", US_national_yearly!$D:$AM, 10, FALSE), 1)</f>
        <v>7.6783516246079654E-8</v>
      </c>
      <c r="N3" s="7">
        <f>$B3 * IFERROR(VLOOKUP("electricity|NOx|Infant mortality", US_national_yearly!$D:$AM, 22, FALSE) / VLOOKUP("electricity|NOx|Infant mortality", US_national_yearly!$D:$AM, 10, FALSE), 1)</f>
        <v>7.6394389057757798E-8</v>
      </c>
      <c r="O3" s="7">
        <f>$B3 * IFERROR(VLOOKUP("electricity|NOx|Infant mortality", US_national_yearly!$D:$AM, 23, FALSE) / VLOOKUP("electricity|NOx|Infant mortality", US_national_yearly!$D:$AM, 10, FALSE), 1)</f>
        <v>7.6005261869435915E-8</v>
      </c>
      <c r="P3" s="7">
        <f>$B3 * IFERROR(VLOOKUP("electricity|NOx|Infant mortality", US_national_yearly!$D:$AM, 24, FALSE) / VLOOKUP("electricity|NOx|Infant mortality", US_national_yearly!$D:$AM, 10, FALSE), 1)</f>
        <v>7.5616134681114046E-8</v>
      </c>
      <c r="Q3" s="7">
        <f>$B3 * IFERROR(VLOOKUP("electricity|NOx|Infant mortality", US_national_yearly!$D:$AM, 25, FALSE) / VLOOKUP("electricity|NOx|Infant mortality", US_national_yearly!$D:$AM, 10, FALSE), 1)</f>
        <v>7.5227007492792176E-8</v>
      </c>
      <c r="R3" s="7">
        <f>$B3 * IFERROR(VLOOKUP("electricity|NOx|Infant mortality", US_national_yearly!$D:$AM, 26, FALSE) / VLOOKUP("electricity|NOx|Infant mortality", US_national_yearly!$D:$AM, 10, FALSE), 1)</f>
        <v>7.483788030447032E-8</v>
      </c>
      <c r="S3" s="7">
        <f>$B3 * IFERROR(VLOOKUP("electricity|NOx|Infant mortality", US_national_yearly!$D:$AM, 27, FALSE) / VLOOKUP("electricity|NOx|Infant mortality", US_national_yearly!$D:$AM, 10, FALSE), 1)</f>
        <v>7.4375918567583488E-8</v>
      </c>
      <c r="T3" s="7">
        <f>$B3 * IFERROR(VLOOKUP("electricity|NOx|Infant mortality", US_national_yearly!$D:$AM, 28, FALSE) / VLOOKUP("electricity|NOx|Infant mortality", US_national_yearly!$D:$AM, 10, FALSE), 1)</f>
        <v>7.3913956830696655E-8</v>
      </c>
      <c r="U3" s="7">
        <f>$B3 * IFERROR(VLOOKUP("electricity|NOx|Infant mortality", US_national_yearly!$D:$AM, 29, FALSE) / VLOOKUP("electricity|NOx|Infant mortality", US_national_yearly!$D:$AM, 10, FALSE), 1)</f>
        <v>7.3451995093809835E-8</v>
      </c>
      <c r="V3" s="7">
        <f>$B3 * IFERROR(VLOOKUP("electricity|NOx|Infant mortality", US_national_yearly!$D:$AM, 30, FALSE) / VLOOKUP("electricity|NOx|Infant mortality", US_national_yearly!$D:$AM, 10, FALSE), 1)</f>
        <v>7.2990033356923016E-8</v>
      </c>
      <c r="W3" s="7">
        <f>$B3 * IFERROR(VLOOKUP("electricity|NOx|Infant mortality", US_national_yearly!$D:$AM, 31, FALSE) / VLOOKUP("electricity|NOx|Infant mortality", US_national_yearly!$D:$AM, 10, FALSE), 1)</f>
        <v>7.2528071620036196E-8</v>
      </c>
      <c r="X3" s="7">
        <f>$B3 * IFERROR(VLOOKUP("electricity|NOx|Infant mortality", US_national_yearly!$D:$AM, 32, FALSE) / VLOOKUP("electricity|NOx|Infant mortality", US_national_yearly!$D:$AM, 10, FALSE), 1)</f>
        <v>7.2052401458663842E-8</v>
      </c>
      <c r="Y3" s="7">
        <f>$B3 * IFERROR(VLOOKUP("electricity|NOx|Infant mortality", US_national_yearly!$D:$AM, 33, FALSE) / VLOOKUP("electricity|NOx|Infant mortality", US_national_yearly!$D:$AM, 10, FALSE), 1)</f>
        <v>7.1576731297291488E-8</v>
      </c>
      <c r="Z3" s="7">
        <f>$B3 * IFERROR(VLOOKUP("electricity|NOx|Infant mortality", US_national_yearly!$D:$AM, 34, FALSE) / VLOOKUP("electricity|NOx|Infant mortality", US_national_yearly!$D:$AM, 10, FALSE), 1)</f>
        <v>7.1101061135919134E-8</v>
      </c>
      <c r="AA3" s="7">
        <f>$B3 * IFERROR(VLOOKUP("electricity|NOx|Infant mortality", US_national_yearly!$D:$AM, 35, FALSE) / VLOOKUP("electricity|NOx|Infant mortality", US_national_yearly!$D:$AM, 10, FALSE), 1)</f>
        <v>7.0625390974546793E-8</v>
      </c>
      <c r="AB3" s="7">
        <f>$B3 * IFERROR(VLOOKUP("electricity|NOx|Infant mortality", US_national_yearly!$D:$AM, 36, FALSE) / VLOOKUP("electricity|NOx|Infant mortality", US_national_yearly!$D:$AM, 10, FALSE), 1)</f>
        <v>7.0149720813174426E-8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4.0854391670322465E-4</v>
      </c>
      <c r="C6" s="7">
        <f>$B6 * IFERROR(VLOOKUP("electricity|NOx|Asthma symptoms cough", US_national_yearly!$D:$AM, 11, FALSE) / VLOOKUP("electricity|NOx|Asthma symptoms cough", US_national_yearly!$D:$AM, 10, FALSE), 1)</f>
        <v>4.1415270621529082E-4</v>
      </c>
      <c r="D6" s="7">
        <f>$B6 * IFERROR(VLOOKUP("electricity|NOx|Asthma symptoms cough", US_national_yearly!$D:$AM, 12, FALSE) / VLOOKUP("electricity|NOx|Asthma symptoms cough", US_national_yearly!$D:$AM, 10, FALSE), 1)</f>
        <v>4.1976149572735705E-4</v>
      </c>
      <c r="E6" s="7">
        <f>$B6 * IFERROR(VLOOKUP("electricity|NOx|Asthma symptoms cough", US_national_yearly!$D:$AM, 13, FALSE) / VLOOKUP("electricity|NOx|Asthma symptoms cough", US_national_yearly!$D:$AM, 10, FALSE), 1)</f>
        <v>4.2537028523942323E-4</v>
      </c>
      <c r="F6" s="7">
        <f>$B6 * IFERROR(VLOOKUP("electricity|NOx|Asthma symptoms cough", US_national_yearly!$D:$AM, 14, FALSE) / VLOOKUP("electricity|NOx|Asthma symptoms cough", US_national_yearly!$D:$AM, 10, FALSE), 1)</f>
        <v>4.3097907475148935E-4</v>
      </c>
      <c r="G6" s="7">
        <f>$B6 * IFERROR(VLOOKUP("electricity|NOx|Asthma symptoms cough", US_national_yearly!$D:$AM, 15, FALSE) / VLOOKUP("electricity|NOx|Asthma symptoms cough", US_national_yearly!$D:$AM, 10, FALSE), 1)</f>
        <v>4.3553931801538598E-4</v>
      </c>
      <c r="H6" s="7">
        <f>$B6 * IFERROR(VLOOKUP("electricity|NOx|Asthma symptoms cough", US_national_yearly!$D:$AM, 16, FALSE) / VLOOKUP("electricity|NOx|Asthma symptoms cough", US_national_yearly!$D:$AM, 10, FALSE), 1)</f>
        <v>4.4009956127928255E-4</v>
      </c>
      <c r="I6" s="7">
        <f>$B6 * IFERROR(VLOOKUP("electricity|NOx|Asthma symptoms cough", US_national_yearly!$D:$AM, 17, FALSE) / VLOOKUP("electricity|NOx|Asthma symptoms cough", US_national_yearly!$D:$AM, 10, FALSE), 1)</f>
        <v>4.4179477718349005E-4</v>
      </c>
      <c r="J6" s="7">
        <f>$B6 * IFERROR(VLOOKUP("electricity|NOx|Asthma symptoms cough", US_national_yearly!$D:$AM, 18, FALSE) / VLOOKUP("electricity|NOx|Asthma symptoms cough", US_national_yearly!$D:$AM, 10, FALSE), 1)</f>
        <v>4.4348999308769751E-4</v>
      </c>
      <c r="K6" s="7">
        <f>$B6 * IFERROR(VLOOKUP("electricity|NOx|Asthma symptoms cough", US_national_yearly!$D:$AM, 19, FALSE) / VLOOKUP("electricity|NOx|Asthma symptoms cough", US_national_yearly!$D:$AM, 10, FALSE), 1)</f>
        <v>4.4518520899190512E-4</v>
      </c>
      <c r="L6" s="7">
        <f>$B6 * IFERROR(VLOOKUP("electricity|NOx|Asthma symptoms cough", US_national_yearly!$D:$AM, 20, FALSE) / VLOOKUP("electricity|NOx|Asthma symptoms cough", US_national_yearly!$D:$AM, 10, FALSE), 1)</f>
        <v>4.4688042489611263E-4</v>
      </c>
      <c r="M6" s="7">
        <f>$B6 * IFERROR(VLOOKUP("electricity|NOx|Asthma symptoms cough", US_national_yearly!$D:$AM, 21, FALSE) / VLOOKUP("electricity|NOx|Asthma symptoms cough", US_national_yearly!$D:$AM, 10, FALSE), 1)</f>
        <v>4.4857564080032024E-4</v>
      </c>
      <c r="N6" s="7">
        <f>$B6 * IFERROR(VLOOKUP("electricity|NOx|Asthma symptoms cough", US_national_yearly!$D:$AM, 22, FALSE) / VLOOKUP("electricity|NOx|Asthma symptoms cough", US_national_yearly!$D:$AM, 10, FALSE), 1)</f>
        <v>4.5045392590183623E-4</v>
      </c>
      <c r="O6" s="7">
        <f>$B6 * IFERROR(VLOOKUP("electricity|NOx|Asthma symptoms cough", US_national_yearly!$D:$AM, 23, FALSE) / VLOOKUP("electricity|NOx|Asthma symptoms cough", US_national_yearly!$D:$AM, 10, FALSE), 1)</f>
        <v>4.5233221100335238E-4</v>
      </c>
      <c r="P6" s="7">
        <f>$B6 * IFERROR(VLOOKUP("electricity|NOx|Asthma symptoms cough", US_national_yearly!$D:$AM, 24, FALSE) / VLOOKUP("electricity|NOx|Asthma symptoms cough", US_national_yearly!$D:$AM, 10, FALSE), 1)</f>
        <v>4.5421049610486843E-4</v>
      </c>
      <c r="Q6" s="7">
        <f>$B6 * IFERROR(VLOOKUP("electricity|NOx|Asthma symptoms cough", US_national_yearly!$D:$AM, 25, FALSE) / VLOOKUP("electricity|NOx|Asthma symptoms cough", US_national_yearly!$D:$AM, 10, FALSE), 1)</f>
        <v>4.5608878120638452E-4</v>
      </c>
      <c r="R6" s="7">
        <f>$B6 * IFERROR(VLOOKUP("electricity|NOx|Asthma symptoms cough", US_national_yearly!$D:$AM, 26, FALSE) / VLOOKUP("electricity|NOx|Asthma symptoms cough", US_national_yearly!$D:$AM, 10, FALSE), 1)</f>
        <v>4.5796706630790056E-4</v>
      </c>
      <c r="S6" s="7">
        <f>$B6 * IFERROR(VLOOKUP("electricity|NOx|Asthma symptoms cough", US_national_yearly!$D:$AM, 27, FALSE) / VLOOKUP("electricity|NOx|Asthma symptoms cough", US_national_yearly!$D:$AM, 10, FALSE), 1)</f>
        <v>4.6031039993937173E-4</v>
      </c>
      <c r="T6" s="7">
        <f>$B6 * IFERROR(VLOOKUP("electricity|NOx|Asthma symptoms cough", US_national_yearly!$D:$AM, 28, FALSE) / VLOOKUP("electricity|NOx|Asthma symptoms cough", US_national_yearly!$D:$AM, 10, FALSE), 1)</f>
        <v>4.6265373357084273E-4</v>
      </c>
      <c r="U6" s="7">
        <f>$B6 * IFERROR(VLOOKUP("electricity|NOx|Asthma symptoms cough", US_national_yearly!$D:$AM, 29, FALSE) / VLOOKUP("electricity|NOx|Asthma symptoms cough", US_national_yearly!$D:$AM, 10, FALSE), 1)</f>
        <v>4.6499706720231395E-4</v>
      </c>
      <c r="V6" s="7">
        <f>$B6 * IFERROR(VLOOKUP("electricity|NOx|Asthma symptoms cough", US_national_yearly!$D:$AM, 30, FALSE) / VLOOKUP("electricity|NOx|Asthma symptoms cough", US_national_yearly!$D:$AM, 10, FALSE), 1)</f>
        <v>4.6734040083378501E-4</v>
      </c>
      <c r="W6" s="7">
        <f>$B6 * IFERROR(VLOOKUP("electricity|NOx|Asthma symptoms cough", US_national_yearly!$D:$AM, 31, FALSE) / VLOOKUP("electricity|NOx|Asthma symptoms cough", US_national_yearly!$D:$AM, 10, FALSE), 1)</f>
        <v>4.6968373446525612E-4</v>
      </c>
      <c r="X6" s="7">
        <f>$B6 * IFERROR(VLOOKUP("electricity|NOx|Asthma symptoms cough", US_national_yearly!$D:$AM, 32, FALSE) / VLOOKUP("electricity|NOx|Asthma symptoms cough", US_national_yearly!$D:$AM, 10, FALSE), 1)</f>
        <v>4.7184266338209181E-4</v>
      </c>
      <c r="Y6" s="7">
        <f>$B6 * IFERROR(VLOOKUP("electricity|NOx|Asthma symptoms cough", US_national_yearly!$D:$AM, 33, FALSE) / VLOOKUP("electricity|NOx|Asthma symptoms cough", US_national_yearly!$D:$AM, 10, FALSE), 1)</f>
        <v>4.7400159229892761E-4</v>
      </c>
      <c r="Z6" s="7">
        <f>$B6 * IFERROR(VLOOKUP("electricity|NOx|Asthma symptoms cough", US_national_yearly!$D:$AM, 34, FALSE) / VLOOKUP("electricity|NOx|Asthma symptoms cough", US_national_yearly!$D:$AM, 10, FALSE), 1)</f>
        <v>4.7616052121576342E-4</v>
      </c>
      <c r="AA6" s="7">
        <f>$B6 * IFERROR(VLOOKUP("electricity|NOx|Asthma symptoms cough", US_national_yearly!$D:$AM, 35, FALSE) / VLOOKUP("electricity|NOx|Asthma symptoms cough", US_national_yearly!$D:$AM, 10, FALSE), 1)</f>
        <v>4.7831945013259916E-4</v>
      </c>
      <c r="AB6" s="7">
        <f>$B6 * IFERROR(VLOOKUP("electricity|NOx|Asthma symptoms cough", US_national_yearly!$D:$AM, 36, FALSE) / VLOOKUP("electricity|NOx|Asthma symptoms cough", US_national_yearly!$D:$AM, 10, FALSE), 1)</f>
        <v>4.8047837904943496E-4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5.5016423256103479E-4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5.577172892719187E-4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5.6527034598280283E-4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5.7282340269368675E-4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5.8037645940457066E-4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5.8651749498268824E-4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5.9265853056080561E-4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5.9494138709090196E-4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5.9722424362099809E-4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5.9950710015109422E-4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6.0178995668119036E-4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6.040728132112866E-4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6.0660219923624396E-4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6.0913158526120154E-4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6.1166097128615901E-4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6.1419035731111659E-4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6.1671974333607407E-4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6.1987538533616042E-4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6.2303102733624678E-4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6.2618666933633325E-4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6.293423113364195E-4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6.3249795333650597E-4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6.3540526737389583E-4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6.3831258141128591E-4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6.4121989544867588E-4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6.4412720948606574E-4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6.4703452352345581E-4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8.4055568554843138E-4</v>
      </c>
      <c r="C8" s="7">
        <f>$B8 * IFERROR(VLOOKUP("electricity|NOx|Asthma symptoms wheeze", US_national_yearly!$D:$AM, 11, FALSE) / VLOOKUP("electricity|NOx|Asthma symptoms wheeze", US_national_yearly!$D:$AM, 10, FALSE), 1)</f>
        <v>8.520954483975078E-4</v>
      </c>
      <c r="D8" s="7">
        <f>$B8 * IFERROR(VLOOKUP("electricity|NOx|Asthma symptoms wheeze", US_national_yearly!$D:$AM, 12, FALSE) / VLOOKUP("electricity|NOx|Asthma symptoms wheeze", US_national_yearly!$D:$AM, 10, FALSE), 1)</f>
        <v>8.636352112465841E-4</v>
      </c>
      <c r="E8" s="7">
        <f>$B8 * IFERROR(VLOOKUP("electricity|NOx|Asthma symptoms wheeze", US_national_yearly!$D:$AM, 13, FALSE) / VLOOKUP("electricity|NOx|Asthma symptoms wheeze", US_national_yearly!$D:$AM, 10, FALSE), 1)</f>
        <v>8.7517497409566052E-4</v>
      </c>
      <c r="F8" s="7">
        <f>$B8 * IFERROR(VLOOKUP("electricity|NOx|Asthma symptoms wheeze", US_national_yearly!$D:$AM, 14, FALSE) / VLOOKUP("electricity|NOx|Asthma symptoms wheeze", US_national_yearly!$D:$AM, 10, FALSE), 1)</f>
        <v>8.8671473694473704E-4</v>
      </c>
      <c r="G8" s="7">
        <f>$B8 * IFERROR(VLOOKUP("electricity|NOx|Asthma symptoms wheeze", US_national_yearly!$D:$AM, 15, FALSE) / VLOOKUP("electricity|NOx|Asthma symptoms wheeze", US_national_yearly!$D:$AM, 10, FALSE), 1)</f>
        <v>8.9609717600303495E-4</v>
      </c>
      <c r="H8" s="7">
        <f>$B8 * IFERROR(VLOOKUP("electricity|NOx|Asthma symptoms wheeze", US_national_yearly!$D:$AM, 16, FALSE) / VLOOKUP("electricity|NOx|Asthma symptoms wheeze", US_national_yearly!$D:$AM, 10, FALSE), 1)</f>
        <v>9.0547961506133297E-4</v>
      </c>
      <c r="I8" s="7">
        <f>$B8 * IFERROR(VLOOKUP("electricity|NOx|Asthma symptoms wheeze", US_national_yearly!$D:$AM, 17, FALSE) / VLOOKUP("electricity|NOx|Asthma symptoms wheeze", US_national_yearly!$D:$AM, 10, FALSE), 1)</f>
        <v>9.0896742458587861E-4</v>
      </c>
      <c r="J8" s="7">
        <f>$B8 * IFERROR(VLOOKUP("electricity|NOx|Asthma symptoms wheeze", US_national_yearly!$D:$AM, 18, FALSE) / VLOOKUP("electricity|NOx|Asthma symptoms wheeze", US_national_yearly!$D:$AM, 10, FALSE), 1)</f>
        <v>9.1245523411042436E-4</v>
      </c>
      <c r="K8" s="7">
        <f>$B8 * IFERROR(VLOOKUP("electricity|NOx|Asthma symptoms wheeze", US_national_yearly!$D:$AM, 19, FALSE) / VLOOKUP("electricity|NOx|Asthma symptoms wheeze", US_national_yearly!$D:$AM, 10, FALSE), 1)</f>
        <v>9.1594304363497043E-4</v>
      </c>
      <c r="L8" s="7">
        <f>$B8 * IFERROR(VLOOKUP("electricity|NOx|Asthma symptoms wheeze", US_national_yearly!$D:$AM, 20, FALSE) / VLOOKUP("electricity|NOx|Asthma symptoms wheeze", US_national_yearly!$D:$AM, 10, FALSE), 1)</f>
        <v>9.1943085315951607E-4</v>
      </c>
      <c r="M8" s="7">
        <f>$B8 * IFERROR(VLOOKUP("electricity|NOx|Asthma symptoms wheeze", US_national_yearly!$D:$AM, 21, FALSE) / VLOOKUP("electricity|NOx|Asthma symptoms wheeze", US_national_yearly!$D:$AM, 10, FALSE), 1)</f>
        <v>9.2291866268406182E-4</v>
      </c>
      <c r="N8" s="7">
        <f>$B8 * IFERROR(VLOOKUP("electricity|NOx|Asthma symptoms wheeze", US_national_yearly!$D:$AM, 22, FALSE) / VLOOKUP("electricity|NOx|Asthma symptoms wheeze", US_national_yearly!$D:$AM, 10, FALSE), 1)</f>
        <v>9.2678312658589263E-4</v>
      </c>
      <c r="O8" s="7">
        <f>$B8 * IFERROR(VLOOKUP("electricity|NOx|Asthma symptoms wheeze", US_national_yearly!$D:$AM, 23, FALSE) / VLOOKUP("electricity|NOx|Asthma symptoms wheeze", US_national_yearly!$D:$AM, 10, FALSE), 1)</f>
        <v>9.3064759048772376E-4</v>
      </c>
      <c r="P8" s="7">
        <f>$B8 * IFERROR(VLOOKUP("electricity|NOx|Asthma symptoms wheeze", US_national_yearly!$D:$AM, 24, FALSE) / VLOOKUP("electricity|NOx|Asthma symptoms wheeze", US_national_yearly!$D:$AM, 10, FALSE), 1)</f>
        <v>9.3451205438955479E-4</v>
      </c>
      <c r="Q8" s="7">
        <f>$B8 * IFERROR(VLOOKUP("electricity|NOx|Asthma symptoms wheeze", US_national_yearly!$D:$AM, 25, FALSE) / VLOOKUP("electricity|NOx|Asthma symptoms wheeze", US_national_yearly!$D:$AM, 10, FALSE), 1)</f>
        <v>9.383765182913856E-4</v>
      </c>
      <c r="R8" s="7">
        <f>$B8 * IFERROR(VLOOKUP("electricity|NOx|Asthma symptoms wheeze", US_national_yearly!$D:$AM, 26, FALSE) / VLOOKUP("electricity|NOx|Asthma symptoms wheeze", US_national_yearly!$D:$AM, 10, FALSE), 1)</f>
        <v>9.4224098219321652E-4</v>
      </c>
      <c r="S8" s="7">
        <f>$B8 * IFERROR(VLOOKUP("electricity|NOx|Asthma symptoms wheeze", US_national_yearly!$D:$AM, 27, FALSE) / VLOOKUP("electricity|NOx|Asthma symptoms wheeze", US_national_yearly!$D:$AM, 10, FALSE), 1)</f>
        <v>9.4706225678253841E-4</v>
      </c>
      <c r="T8" s="7">
        <f>$B8 * IFERROR(VLOOKUP("electricity|NOx|Asthma symptoms wheeze", US_national_yearly!$D:$AM, 28, FALSE) / VLOOKUP("electricity|NOx|Asthma symptoms wheeze", US_national_yearly!$D:$AM, 10, FALSE), 1)</f>
        <v>9.518835313718603E-4</v>
      </c>
      <c r="U8" s="7">
        <f>$B8 * IFERROR(VLOOKUP("electricity|NOx|Asthma symptoms wheeze", US_national_yearly!$D:$AM, 29, FALSE) / VLOOKUP("electricity|NOx|Asthma symptoms wheeze", US_national_yearly!$D:$AM, 10, FALSE), 1)</f>
        <v>9.5670480596118208E-4</v>
      </c>
      <c r="V8" s="7">
        <f>$B8 * IFERROR(VLOOKUP("electricity|NOx|Asthma symptoms wheeze", US_national_yearly!$D:$AM, 30, FALSE) / VLOOKUP("electricity|NOx|Asthma symptoms wheeze", US_national_yearly!$D:$AM, 10, FALSE), 1)</f>
        <v>9.6152608055050397E-4</v>
      </c>
      <c r="W8" s="7">
        <f>$B8 * IFERROR(VLOOKUP("electricity|NOx|Asthma symptoms wheeze", US_national_yearly!$D:$AM, 31, FALSE) / VLOOKUP("electricity|NOx|Asthma symptoms wheeze", US_national_yearly!$D:$AM, 10, FALSE), 1)</f>
        <v>9.6634735513982585E-4</v>
      </c>
      <c r="X8" s="7">
        <f>$B8 * IFERROR(VLOOKUP("electricity|NOx|Asthma symptoms wheeze", US_national_yearly!$D:$AM, 32, FALSE) / VLOOKUP("electricity|NOx|Asthma symptoms wheeze", US_national_yearly!$D:$AM, 10, FALSE), 1)</f>
        <v>9.7078922760108187E-4</v>
      </c>
      <c r="Y8" s="7">
        <f>$B8 * IFERROR(VLOOKUP("electricity|NOx|Asthma symptoms wheeze", US_national_yearly!$D:$AM, 33, FALSE) / VLOOKUP("electricity|NOx|Asthma symptoms wheeze", US_national_yearly!$D:$AM, 10, FALSE), 1)</f>
        <v>9.7523110006233799E-4</v>
      </c>
      <c r="Z8" s="7">
        <f>$B8 * IFERROR(VLOOKUP("electricity|NOx|Asthma symptoms wheeze", US_national_yearly!$D:$AM, 34, FALSE) / VLOOKUP("electricity|NOx|Asthma symptoms wheeze", US_national_yearly!$D:$AM, 10, FALSE), 1)</f>
        <v>9.7967297252359378E-4</v>
      </c>
      <c r="AA8" s="7">
        <f>$B8 * IFERROR(VLOOKUP("electricity|NOx|Asthma symptoms wheeze", US_national_yearly!$D:$AM, 35, FALSE) / VLOOKUP("electricity|NOx|Asthma symptoms wheeze", US_national_yearly!$D:$AM, 10, FALSE), 1)</f>
        <v>9.8411484498485001E-4</v>
      </c>
      <c r="AB8" s="7">
        <f>$B8 * IFERROR(VLOOKUP("electricity|NOx|Asthma symptoms wheeze", US_national_yearly!$D:$AM, 36, FALSE) / VLOOKUP("electricity|NOx|Asthma symptoms wheeze", US_national_yearly!$D:$AM, 10, FALSE), 1)</f>
        <v>9.8855671744610602E-4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1.5517707436219747E-5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1.5915141841913092E-5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1.6312576247606441E-5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1.6710010653299783E-5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1.7107445058993125E-5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1.7490036992596205E-5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1.7872628926199288E-5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1.8201626513879534E-5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1.8530624101559776E-5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1.8859621689240029E-5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1.9188619276920271E-5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1.951761686460052E-5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1.9743083042690655E-5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1.9968549220780792E-5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2.0194015398870926E-5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2.0419481576961064E-5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2.0644947755051198E-5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2.0773357936564007E-5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2.0901768118076816E-5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2.1030178299589621E-5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2.115858848110243E-5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2.1286998662615236E-5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2.1380397242186216E-5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2.147379582175719E-5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2.1567194401328174E-5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2.1660592980899154E-5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2.1753991560470128E-5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8.1059489309384729E-5</v>
      </c>
      <c r="C13" s="7">
        <f>$B13 * IFERROR(VLOOKUP("electricity|NOx|Non-fatal heart attacks", US_national_yearly!$D:$AM, 11, FALSE) / VLOOKUP("electricity|NOx|Non-fatal heart attacks", US_national_yearly!$D:$AM, 10, FALSE), 1)</f>
        <v>8.3385673337767516E-5</v>
      </c>
      <c r="D13" s="7">
        <f>$B13 * IFERROR(VLOOKUP("electricity|NOx|Non-fatal heart attacks", US_national_yearly!$D:$AM, 12, FALSE) / VLOOKUP("electricity|NOx|Non-fatal heart attacks", US_national_yearly!$D:$AM, 10, FALSE), 1)</f>
        <v>8.5711857366150318E-5</v>
      </c>
      <c r="E13" s="7">
        <f>$B13 * IFERROR(VLOOKUP("electricity|NOx|Non-fatal heart attacks", US_national_yearly!$D:$AM, 13, FALSE) / VLOOKUP("electricity|NOx|Non-fatal heart attacks", US_national_yearly!$D:$AM, 10, FALSE), 1)</f>
        <v>8.8038041394533105E-5</v>
      </c>
      <c r="F13" s="7">
        <f>$B13 * IFERROR(VLOOKUP("electricity|NOx|Non-fatal heart attacks", US_national_yearly!$D:$AM, 14, FALSE) / VLOOKUP("electricity|NOx|Non-fatal heart attacks", US_national_yearly!$D:$AM, 10, FALSE), 1)</f>
        <v>9.036422542291592E-5</v>
      </c>
      <c r="G13" s="7">
        <f>$B13 * IFERROR(VLOOKUP("electricity|NOx|Non-fatal heart attacks", US_national_yearly!$D:$AM, 15, FALSE) / VLOOKUP("electricity|NOx|Non-fatal heart attacks", US_national_yearly!$D:$AM, 10, FALSE), 1)</f>
        <v>9.2555580029485553E-5</v>
      </c>
      <c r="H13" s="7">
        <f>$B13 * IFERROR(VLOOKUP("electricity|NOx|Non-fatal heart attacks", US_national_yearly!$D:$AM, 16, FALSE) / VLOOKUP("electricity|NOx|Non-fatal heart attacks", US_national_yearly!$D:$AM, 10, FALSE), 1)</f>
        <v>9.4746934636055186E-5</v>
      </c>
      <c r="I13" s="7">
        <f>$B13 * IFERROR(VLOOKUP("electricity|NOx|Non-fatal heart attacks", US_national_yearly!$D:$AM, 17, FALSE) / VLOOKUP("electricity|NOx|Non-fatal heart attacks", US_national_yearly!$D:$AM, 10, FALSE), 1)</f>
        <v>9.6504179332679453E-5</v>
      </c>
      <c r="J13" s="7">
        <f>$B13 * IFERROR(VLOOKUP("electricity|NOx|Non-fatal heart attacks", US_national_yearly!$D:$AM, 18, FALSE) / VLOOKUP("electricity|NOx|Non-fatal heart attacks", US_national_yearly!$D:$AM, 10, FALSE), 1)</f>
        <v>9.8261424029303721E-5</v>
      </c>
      <c r="K13" s="7">
        <f>$B13 * IFERROR(VLOOKUP("electricity|NOx|Non-fatal heart attacks", US_national_yearly!$D:$AM, 19, FALSE) / VLOOKUP("electricity|NOx|Non-fatal heart attacks", US_national_yearly!$D:$AM, 10, FALSE), 1)</f>
        <v>1.0001866872592791E-4</v>
      </c>
      <c r="L13" s="7">
        <f>$B13 * IFERROR(VLOOKUP("electricity|NOx|Non-fatal heart attacks", US_national_yearly!$D:$AM, 20, FALSE) / VLOOKUP("electricity|NOx|Non-fatal heart attacks", US_national_yearly!$D:$AM, 10, FALSE), 1)</f>
        <v>1.0177591342255218E-4</v>
      </c>
      <c r="M13" s="7">
        <f>$B13 * IFERROR(VLOOKUP("electricity|NOx|Non-fatal heart attacks", US_national_yearly!$D:$AM, 21, FALSE) / VLOOKUP("electricity|NOx|Non-fatal heart attacks", US_national_yearly!$D:$AM, 10, FALSE), 1)</f>
        <v>1.0353315811917647E-4</v>
      </c>
      <c r="N13" s="7">
        <f>$B13 * IFERROR(VLOOKUP("electricity|NOx|Non-fatal heart attacks", US_national_yearly!$D:$AM, 22, FALSE) / VLOOKUP("electricity|NOx|Non-fatal heart attacks", US_national_yearly!$D:$AM, 10, FALSE), 1)</f>
        <v>1.0461688743464606E-4</v>
      </c>
      <c r="O13" s="7">
        <f>$B13 * IFERROR(VLOOKUP("electricity|NOx|Non-fatal heart attacks", US_national_yearly!$D:$AM, 23, FALSE) / VLOOKUP("electricity|NOx|Non-fatal heart attacks", US_national_yearly!$D:$AM, 10, FALSE), 1)</f>
        <v>1.0570061675011568E-4</v>
      </c>
      <c r="P13" s="7">
        <f>$B13 * IFERROR(VLOOKUP("electricity|NOx|Non-fatal heart attacks", US_national_yearly!$D:$AM, 24, FALSE) / VLOOKUP("electricity|NOx|Non-fatal heart attacks", US_national_yearly!$D:$AM, 10, FALSE), 1)</f>
        <v>1.067843460655853E-4</v>
      </c>
      <c r="Q13" s="7">
        <f>$B13 * IFERROR(VLOOKUP("electricity|NOx|Non-fatal heart attacks", US_national_yearly!$D:$AM, 25, FALSE) / VLOOKUP("electricity|NOx|Non-fatal heart attacks", US_national_yearly!$D:$AM, 10, FALSE), 1)</f>
        <v>1.078680753810549E-4</v>
      </c>
      <c r="R13" s="7">
        <f>$B13 * IFERROR(VLOOKUP("electricity|NOx|Non-fatal heart attacks", US_national_yearly!$D:$AM, 26, FALSE) / VLOOKUP("electricity|NOx|Non-fatal heart attacks", US_national_yearly!$D:$AM, 10, FALSE), 1)</f>
        <v>1.0895180469652451E-4</v>
      </c>
      <c r="S13" s="7">
        <f>$B13 * IFERROR(VLOOKUP("electricity|NOx|Non-fatal heart attacks", US_national_yearly!$D:$AM, 27, FALSE) / VLOOKUP("electricity|NOx|Non-fatal heart attacks", US_national_yearly!$D:$AM, 10, FALSE), 1)</f>
        <v>1.0948131122960022E-4</v>
      </c>
      <c r="T13" s="7">
        <f>$B13 * IFERROR(VLOOKUP("electricity|NOx|Non-fatal heart attacks", US_national_yearly!$D:$AM, 28, FALSE) / VLOOKUP("electricity|NOx|Non-fatal heart attacks", US_national_yearly!$D:$AM, 10, FALSE), 1)</f>
        <v>1.1001081776267592E-4</v>
      </c>
      <c r="U13" s="7">
        <f>$B13 * IFERROR(VLOOKUP("electricity|NOx|Non-fatal heart attacks", US_national_yearly!$D:$AM, 29, FALSE) / VLOOKUP("electricity|NOx|Non-fatal heart attacks", US_national_yearly!$D:$AM, 10, FALSE), 1)</f>
        <v>1.1054032429575165E-4</v>
      </c>
      <c r="V13" s="7">
        <f>$B13 * IFERROR(VLOOKUP("electricity|NOx|Non-fatal heart attacks", US_national_yearly!$D:$AM, 30, FALSE) / VLOOKUP("electricity|NOx|Non-fatal heart attacks", US_national_yearly!$D:$AM, 10, FALSE), 1)</f>
        <v>1.1106983082882734E-4</v>
      </c>
      <c r="W13" s="7">
        <f>$B13 * IFERROR(VLOOKUP("electricity|NOx|Non-fatal heart attacks", US_national_yearly!$D:$AM, 31, FALSE) / VLOOKUP("electricity|NOx|Non-fatal heart attacks", US_national_yearly!$D:$AM, 10, FALSE), 1)</f>
        <v>1.1159933736190308E-4</v>
      </c>
      <c r="X13" s="7">
        <f>$B13 * IFERROR(VLOOKUP("electricity|NOx|Non-fatal heart attacks", US_national_yearly!$D:$AM, 32, FALSE) / VLOOKUP("electricity|NOx|Non-fatal heart attacks", US_national_yearly!$D:$AM, 10, FALSE), 1)</f>
        <v>1.1196891885028662E-4</v>
      </c>
      <c r="Y13" s="7">
        <f>$B13 * IFERROR(VLOOKUP("electricity|NOx|Non-fatal heart attacks", US_national_yearly!$D:$AM, 33, FALSE) / VLOOKUP("electricity|NOx|Non-fatal heart attacks", US_national_yearly!$D:$AM, 10, FALSE), 1)</f>
        <v>1.1233850033867022E-4</v>
      </c>
      <c r="Z13" s="7">
        <f>$B13 * IFERROR(VLOOKUP("electricity|NOx|Non-fatal heart attacks", US_national_yearly!$D:$AM, 34, FALSE) / VLOOKUP("electricity|NOx|Non-fatal heart attacks", US_national_yearly!$D:$AM, 10, FALSE), 1)</f>
        <v>1.1270808182705376E-4</v>
      </c>
      <c r="AA13" s="7">
        <f>$B13 * IFERROR(VLOOKUP("electricity|NOx|Non-fatal heart attacks", US_national_yearly!$D:$AM, 35, FALSE) / VLOOKUP("electricity|NOx|Non-fatal heart attacks", US_national_yearly!$D:$AM, 10, FALSE), 1)</f>
        <v>1.1307766331543731E-4</v>
      </c>
      <c r="AB13" s="7">
        <f>$B13 * IFERROR(VLOOKUP("electricity|NOx|Non-fatal heart attacks", US_national_yearly!$D:$AM, 36, FALSE) / VLOOKUP("electricity|NOx|Non-fatal heart attacks", US_national_yearly!$D:$AM, 10, FALSE), 1)</f>
        <v>1.134472448038209E-4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5.6996228125948088E-2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5.708361578824192E-2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5.7171003450535753E-2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5.7258391112829585E-2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5.7345778775123431E-2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5.7498213396451545E-2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5.7650648017779645E-2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5.7952238883767333E-2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5.8253829749754994E-2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5.8555420615742683E-2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5.8857011481730344E-2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5.9158602347718033E-2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5.9594728079707331E-2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6.0030853811696608E-2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6.0466979543685892E-2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6.0903105275675183E-2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6.1339231007664481E-2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6.1778654863050834E-2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6.2218078718437195E-2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6.2657502573823562E-2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6.3096926429209929E-2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6.3536350284596282E-2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6.3907972642063257E-2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6.4279594999530204E-2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6.465121735699722E-2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6.5022839714464195E-2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6.5394462071931156E-2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9.5907989236353082E-3</v>
      </c>
      <c r="C15" s="7">
        <f>$B15 * IFERROR(VLOOKUP("electricity|NOx|Work loss days", US_national_yearly!$D:$AM, 11, FALSE) / VLOOKUP("electricity|NOx|Work loss days", US_national_yearly!$D:$AM, 10, FALSE), 1)</f>
        <v>9.6121898329900243E-3</v>
      </c>
      <c r="D15" s="7">
        <f>$B15 * IFERROR(VLOOKUP("electricity|NOx|Work loss days", US_national_yearly!$D:$AM, 12, FALSE) / VLOOKUP("electricity|NOx|Work loss days", US_national_yearly!$D:$AM, 10, FALSE), 1)</f>
        <v>9.6335807423447387E-3</v>
      </c>
      <c r="E15" s="7">
        <f>$B15 * IFERROR(VLOOKUP("electricity|NOx|Work loss days", US_national_yearly!$D:$AM, 13, FALSE) / VLOOKUP("electricity|NOx|Work loss days", US_national_yearly!$D:$AM, 10, FALSE), 1)</f>
        <v>9.6549716516994549E-3</v>
      </c>
      <c r="F15" s="7">
        <f>$B15 * IFERROR(VLOOKUP("electricity|NOx|Work loss days", US_national_yearly!$D:$AM, 14, FALSE) / VLOOKUP("electricity|NOx|Work loss days", US_national_yearly!$D:$AM, 10, FALSE), 1)</f>
        <v>9.6763625610541693E-3</v>
      </c>
      <c r="G15" s="7">
        <f>$B15 * IFERROR(VLOOKUP("electricity|NOx|Work loss days", US_national_yearly!$D:$AM, 15, FALSE) / VLOOKUP("electricity|NOx|Work loss days", US_national_yearly!$D:$AM, 10, FALSE), 1)</f>
        <v>9.7065188395531032E-3</v>
      </c>
      <c r="H15" s="7">
        <f>$B15 * IFERROR(VLOOKUP("electricity|NOx|Work loss days", US_national_yearly!$D:$AM, 16, FALSE) / VLOOKUP("electricity|NOx|Work loss days", US_national_yearly!$D:$AM, 10, FALSE), 1)</f>
        <v>9.7366751180520336E-3</v>
      </c>
      <c r="I15" s="7">
        <f>$B15 * IFERROR(VLOOKUP("electricity|NOx|Work loss days", US_national_yearly!$D:$AM, 17, FALSE) / VLOOKUP("electricity|NOx|Work loss days", US_national_yearly!$D:$AM, 10, FALSE), 1)</f>
        <v>9.7856408189556064E-3</v>
      </c>
      <c r="J15" s="7">
        <f>$B15 * IFERROR(VLOOKUP("electricity|NOx|Work loss days", US_national_yearly!$D:$AM, 18, FALSE) / VLOOKUP("electricity|NOx|Work loss days", US_national_yearly!$D:$AM, 10, FALSE), 1)</f>
        <v>9.8346065198591775E-3</v>
      </c>
      <c r="K15" s="7">
        <f>$B15 * IFERROR(VLOOKUP("electricity|NOx|Work loss days", US_national_yearly!$D:$AM, 19, FALSE) / VLOOKUP("electricity|NOx|Work loss days", US_national_yearly!$D:$AM, 10, FALSE), 1)</f>
        <v>9.8835722207627468E-3</v>
      </c>
      <c r="L15" s="7">
        <f>$B15 * IFERROR(VLOOKUP("electricity|NOx|Work loss days", US_national_yearly!$D:$AM, 20, FALSE) / VLOOKUP("electricity|NOx|Work loss days", US_national_yearly!$D:$AM, 10, FALSE), 1)</f>
        <v>9.9325379216663179E-3</v>
      </c>
      <c r="M15" s="7">
        <f>$B15 * IFERROR(VLOOKUP("electricity|NOx|Work loss days", US_national_yearly!$D:$AM, 21, FALSE) / VLOOKUP("electricity|NOx|Work loss days", US_national_yearly!$D:$AM, 10, FALSE), 1)</f>
        <v>9.9815036225698872E-3</v>
      </c>
      <c r="N15" s="7">
        <f>$B15 * IFERROR(VLOOKUP("electricity|NOx|Work loss days", US_national_yearly!$D:$AM, 22, FALSE) / VLOOKUP("electricity|NOx|Work loss days", US_national_yearly!$D:$AM, 10, FALSE), 1)</f>
        <v>1.0046107453469354E-2</v>
      </c>
      <c r="O15" s="7">
        <f>$B15 * IFERROR(VLOOKUP("electricity|NOx|Work loss days", US_national_yearly!$D:$AM, 23, FALSE) / VLOOKUP("electricity|NOx|Work loss days", US_national_yearly!$D:$AM, 10, FALSE), 1)</f>
        <v>1.011071128436882E-2</v>
      </c>
      <c r="P15" s="7">
        <f>$B15 * IFERROR(VLOOKUP("electricity|NOx|Work loss days", US_national_yearly!$D:$AM, 24, FALSE) / VLOOKUP("electricity|NOx|Work loss days", US_national_yearly!$D:$AM, 10, FALSE), 1)</f>
        <v>1.0175315115268287E-2</v>
      </c>
      <c r="Q15" s="7">
        <f>$B15 * IFERROR(VLOOKUP("electricity|NOx|Work loss days", US_national_yearly!$D:$AM, 25, FALSE) / VLOOKUP("electricity|NOx|Work loss days", US_national_yearly!$D:$AM, 10, FALSE), 1)</f>
        <v>1.0239918946167754E-2</v>
      </c>
      <c r="R15" s="7">
        <f>$B15 * IFERROR(VLOOKUP("electricity|NOx|Work loss days", US_national_yearly!$D:$AM, 26, FALSE) / VLOOKUP("electricity|NOx|Work loss days", US_national_yearly!$D:$AM, 10, FALSE), 1)</f>
        <v>1.0304522777067218E-2</v>
      </c>
      <c r="S15" s="7">
        <f>$B15 * IFERROR(VLOOKUP("electricity|NOx|Work loss days", US_national_yearly!$D:$AM, 27, FALSE) / VLOOKUP("electricity|NOx|Work loss days", US_national_yearly!$D:$AM, 10, FALSE), 1)</f>
        <v>1.037691959625096E-2</v>
      </c>
      <c r="T15" s="7">
        <f>$B15 * IFERROR(VLOOKUP("electricity|NOx|Work loss days", US_national_yearly!$D:$AM, 28, FALSE) / VLOOKUP("electricity|NOx|Work loss days", US_national_yearly!$D:$AM, 10, FALSE), 1)</f>
        <v>1.0449316415434701E-2</v>
      </c>
      <c r="U15" s="7">
        <f>$B15 * IFERROR(VLOOKUP("electricity|NOx|Work loss days", US_national_yearly!$D:$AM, 29, FALSE) / VLOOKUP("electricity|NOx|Work loss days", US_national_yearly!$D:$AM, 10, FALSE), 1)</f>
        <v>1.0521713234618441E-2</v>
      </c>
      <c r="V15" s="7">
        <f>$B15 * IFERROR(VLOOKUP("electricity|NOx|Work loss days", US_national_yearly!$D:$AM, 30, FALSE) / VLOOKUP("electricity|NOx|Work loss days", US_national_yearly!$D:$AM, 10, FALSE), 1)</f>
        <v>1.0594110053802182E-2</v>
      </c>
      <c r="W15" s="7">
        <f>$B15 * IFERROR(VLOOKUP("electricity|NOx|Work loss days", US_national_yearly!$D:$AM, 31, FALSE) / VLOOKUP("electricity|NOx|Work loss days", US_national_yearly!$D:$AM, 10, FALSE), 1)</f>
        <v>1.0666506872985924E-2</v>
      </c>
      <c r="X15" s="7">
        <f>$B15 * IFERROR(VLOOKUP("electricity|NOx|Work loss days", US_national_yearly!$D:$AM, 32, FALSE) / VLOOKUP("electricity|NOx|Work loss days", US_national_yearly!$D:$AM, 10, FALSE), 1)</f>
        <v>1.0729615493721218E-2</v>
      </c>
      <c r="Y15" s="7">
        <f>$B15 * IFERROR(VLOOKUP("electricity|NOx|Work loss days", US_national_yearly!$D:$AM, 33, FALSE) / VLOOKUP("electricity|NOx|Work loss days", US_national_yearly!$D:$AM, 10, FALSE), 1)</f>
        <v>1.0792724114456512E-2</v>
      </c>
      <c r="Z15" s="7">
        <f>$B15 * IFERROR(VLOOKUP("electricity|NOx|Work loss days", US_national_yearly!$D:$AM, 34, FALSE) / VLOOKUP("electricity|NOx|Work loss days", US_national_yearly!$D:$AM, 10, FALSE), 1)</f>
        <v>1.0855832735191806E-2</v>
      </c>
      <c r="AA15" s="7">
        <f>$B15 * IFERROR(VLOOKUP("electricity|NOx|Work loss days", US_national_yearly!$D:$AM, 35, FALSE) / VLOOKUP("electricity|NOx|Work loss days", US_national_yearly!$D:$AM, 10, FALSE), 1)</f>
        <v>1.0918941355927103E-2</v>
      </c>
      <c r="AB15" s="7">
        <f>$B15 * IFERROR(VLOOKUP("electricity|NOx|Work loss days", US_national_yearly!$D:$AM, 36, FALSE) / VLOOKUP("electricity|NOx|Work loss days", US_national_yearly!$D:$AM, 10, FALSE), 1)</f>
        <v>1.0982049976662397E-2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2.0680320583566863E-5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2.1289493205741952E-5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2.1898665827917045E-5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2.2507838450092135E-5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2.3117011072267231E-5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2.3700341156225208E-5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2.4283671240183185E-5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2.4781573411942927E-5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2.5279475583702671E-5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2.5777377755462416E-5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2.6275279927222161E-5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2.6773182098981899E-5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2.7092721833192588E-5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2.741226156740328E-5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2.7731801301613969E-5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2.8051341035824658E-5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2.837088077003535E-5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2.8528131904551418E-5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2.8685383039067489E-5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2.8842634173583557E-5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2.8999885308099631E-5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2.9157136442615699E-5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2.9251383020500185E-5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2.9345629598384672E-5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2.9439876176269156E-5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2.9534122754153642E-5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2.9628369332038129E-5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1.6272434838239033E-2</v>
      </c>
      <c r="C2" s="7">
        <f>$B2 * IFERROR(VLOOKUP("electricity|SO2|Premature mortality", US_national_yearly!$D:$AM, 11, FALSE) / VLOOKUP("electricity|SO2|Premature mortality", US_national_yearly!$D:$AM, 10, FALSE), 1)</f>
        <v>1.6481051207021938E-2</v>
      </c>
      <c r="D2" s="7">
        <f>$B2 * IFERROR(VLOOKUP("electricity|SO2|Premature mortality", US_national_yearly!$D:$AM, 12, FALSE) / VLOOKUP("electricity|SO2|Premature mortality", US_national_yearly!$D:$AM, 10, FALSE), 1)</f>
        <v>1.6689667575804843E-2</v>
      </c>
      <c r="E2" s="7">
        <f>$B2 * IFERROR(VLOOKUP("electricity|SO2|Premature mortality", US_national_yearly!$D:$AM, 13, FALSE) / VLOOKUP("electricity|SO2|Premature mortality", US_national_yearly!$D:$AM, 10, FALSE), 1)</f>
        <v>1.6898283944587748E-2</v>
      </c>
      <c r="F2" s="7">
        <f>$B2 * IFERROR(VLOOKUP("electricity|SO2|Premature mortality", US_national_yearly!$D:$AM, 14, FALSE) / VLOOKUP("electricity|SO2|Premature mortality", US_national_yearly!$D:$AM, 10, FALSE), 1)</f>
        <v>1.7106900313370654E-2</v>
      </c>
      <c r="G2" s="7">
        <f>$B2 * IFERROR(VLOOKUP("electricity|SO2|Premature mortality", US_national_yearly!$D:$AM, 15, FALSE) / VLOOKUP("electricity|SO2|Premature mortality", US_national_yearly!$D:$AM, 10, FALSE), 1)</f>
        <v>1.7508779114757161E-2</v>
      </c>
      <c r="H2" s="7">
        <f>$B2 * IFERROR(VLOOKUP("electricity|SO2|Premature mortality", US_national_yearly!$D:$AM, 16, FALSE) / VLOOKUP("electricity|SO2|Premature mortality", US_national_yearly!$D:$AM, 10, FALSE), 1)</f>
        <v>1.7910657916143668E-2</v>
      </c>
      <c r="I2" s="7">
        <f>$B2 * IFERROR(VLOOKUP("electricity|SO2|Premature mortality", US_national_yearly!$D:$AM, 17, FALSE) / VLOOKUP("electricity|SO2|Premature mortality", US_national_yearly!$D:$AM, 10, FALSE), 1)</f>
        <v>1.8181177855544576E-2</v>
      </c>
      <c r="J2" s="7">
        <f>$B2 * IFERROR(VLOOKUP("electricity|SO2|Premature mortality", US_national_yearly!$D:$AM, 18, FALSE) / VLOOKUP("electricity|SO2|Premature mortality", US_national_yearly!$D:$AM, 10, FALSE), 1)</f>
        <v>1.8451697794945487E-2</v>
      </c>
      <c r="K2" s="7">
        <f>$B2 * IFERROR(VLOOKUP("electricity|SO2|Premature mortality", US_national_yearly!$D:$AM, 19, FALSE) / VLOOKUP("electricity|SO2|Premature mortality", US_national_yearly!$D:$AM, 10, FALSE), 1)</f>
        <v>1.8722217734346392E-2</v>
      </c>
      <c r="L2" s="7">
        <f>$B2 * IFERROR(VLOOKUP("electricity|SO2|Premature mortality", US_national_yearly!$D:$AM, 20, FALSE) / VLOOKUP("electricity|SO2|Premature mortality", US_national_yearly!$D:$AM, 10, FALSE), 1)</f>
        <v>1.8992737673747304E-2</v>
      </c>
      <c r="M2" s="7">
        <f>$B2 * IFERROR(VLOOKUP("electricity|SO2|Premature mortality", US_national_yearly!$D:$AM, 21, FALSE) / VLOOKUP("electricity|SO2|Premature mortality", US_national_yearly!$D:$AM, 10, FALSE), 1)</f>
        <v>1.9263257613148212E-2</v>
      </c>
      <c r="N2" s="7">
        <f>$B2 * IFERROR(VLOOKUP("electricity|SO2|Premature mortality", US_national_yearly!$D:$AM, 22, FALSE) / VLOOKUP("electricity|SO2|Premature mortality", US_national_yearly!$D:$AM, 10, FALSE), 1)</f>
        <v>1.948005778295946E-2</v>
      </c>
      <c r="O2" s="7">
        <f>$B2 * IFERROR(VLOOKUP("electricity|SO2|Premature mortality", US_national_yearly!$D:$AM, 23, FALSE) / VLOOKUP("electricity|SO2|Premature mortality", US_national_yearly!$D:$AM, 10, FALSE), 1)</f>
        <v>1.9696857952770711E-2</v>
      </c>
      <c r="P2" s="7">
        <f>$B2 * IFERROR(VLOOKUP("electricity|SO2|Premature mortality", US_national_yearly!$D:$AM, 24, FALSE) / VLOOKUP("electricity|SO2|Premature mortality", US_national_yearly!$D:$AM, 10, FALSE), 1)</f>
        <v>1.9913658122581956E-2</v>
      </c>
      <c r="Q2" s="7">
        <f>$B2 * IFERROR(VLOOKUP("electricity|SO2|Premature mortality", US_national_yearly!$D:$AM, 25, FALSE) / VLOOKUP("electricity|SO2|Premature mortality", US_national_yearly!$D:$AM, 10, FALSE), 1)</f>
        <v>2.0130458292393204E-2</v>
      </c>
      <c r="R2" s="7">
        <f>$B2 * IFERROR(VLOOKUP("electricity|SO2|Premature mortality", US_national_yearly!$D:$AM, 26, FALSE) / VLOOKUP("electricity|SO2|Premature mortality", US_national_yearly!$D:$AM, 10, FALSE), 1)</f>
        <v>2.0347258462204452E-2</v>
      </c>
      <c r="S2" s="7">
        <f>$B2 * IFERROR(VLOOKUP("electricity|SO2|Premature mortality", US_national_yearly!$D:$AM, 27, FALSE) / VLOOKUP("electricity|SO2|Premature mortality", US_national_yearly!$D:$AM, 10, FALSE), 1)</f>
        <v>2.0471556332191675E-2</v>
      </c>
      <c r="T2" s="7">
        <f>$B2 * IFERROR(VLOOKUP("electricity|SO2|Premature mortality", US_national_yearly!$D:$AM, 28, FALSE) / VLOOKUP("electricity|SO2|Premature mortality", US_national_yearly!$D:$AM, 10, FALSE), 1)</f>
        <v>2.0595854202178902E-2</v>
      </c>
      <c r="U2" s="7">
        <f>$B2 * IFERROR(VLOOKUP("electricity|SO2|Premature mortality", US_national_yearly!$D:$AM, 29, FALSE) / VLOOKUP("electricity|SO2|Premature mortality", US_national_yearly!$D:$AM, 10, FALSE), 1)</f>
        <v>2.0720152072166129E-2</v>
      </c>
      <c r="V2" s="7">
        <f>$B2 * IFERROR(VLOOKUP("electricity|SO2|Premature mortality", US_national_yearly!$D:$AM, 30, FALSE) / VLOOKUP("electricity|SO2|Premature mortality", US_national_yearly!$D:$AM, 10, FALSE), 1)</f>
        <v>2.0844449942153356E-2</v>
      </c>
      <c r="W2" s="7">
        <f>$B2 * IFERROR(VLOOKUP("electricity|SO2|Premature mortality", US_national_yearly!$D:$AM, 31, FALSE) / VLOOKUP("electricity|SO2|Premature mortality", US_national_yearly!$D:$AM, 10, FALSE), 1)</f>
        <v>2.096874781214058E-2</v>
      </c>
      <c r="X2" s="7">
        <f>$B2 * IFERROR(VLOOKUP("electricity|SO2|Premature mortality", US_national_yearly!$D:$AM, 32, FALSE) / VLOOKUP("electricity|SO2|Premature mortality", US_national_yearly!$D:$AM, 10, FALSE), 1)</f>
        <v>2.1005371641118417E-2</v>
      </c>
      <c r="Y2" s="7">
        <f>$B2 * IFERROR(VLOOKUP("electricity|SO2|Premature mortality", US_national_yearly!$D:$AM, 33, FALSE) / VLOOKUP("electricity|SO2|Premature mortality", US_national_yearly!$D:$AM, 10, FALSE), 1)</f>
        <v>2.1041995470096251E-2</v>
      </c>
      <c r="Z2" s="7">
        <f>$B2 * IFERROR(VLOOKUP("electricity|SO2|Premature mortality", US_national_yearly!$D:$AM, 34, FALSE) / VLOOKUP("electricity|SO2|Premature mortality", US_national_yearly!$D:$AM, 10, FALSE), 1)</f>
        <v>2.1078619299074085E-2</v>
      </c>
      <c r="AA2" s="7">
        <f>$B2 * IFERROR(VLOOKUP("electricity|SO2|Premature mortality", US_national_yearly!$D:$AM, 35, FALSE) / VLOOKUP("electricity|SO2|Premature mortality", US_national_yearly!$D:$AM, 10, FALSE), 1)</f>
        <v>2.1115243128051926E-2</v>
      </c>
      <c r="AB2" s="7">
        <f>$B2 * IFERROR(VLOOKUP("electricity|SO2|Premature mortality", US_national_yearly!$D:$AM, 36, FALSE) / VLOOKUP("electricity|SO2|Premature mortality", US_national_yearly!$D:$AM, 10, FALSE), 1)</f>
        <v>2.1151866957029759E-2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2.4283470487245454E-5</v>
      </c>
      <c r="C3" s="7">
        <f>$B3 * IFERROR(VLOOKUP("electricity|SO2|Infant mortality", US_national_yearly!$D:$AM, 11, FALSE) / VLOOKUP("electricity|SO2|Infant mortality", US_national_yearly!$D:$AM, 10, FALSE), 1)</f>
        <v>2.4078321333377098E-5</v>
      </c>
      <c r="D3" s="7">
        <f>$B3 * IFERROR(VLOOKUP("electricity|SO2|Infant mortality", US_national_yearly!$D:$AM, 12, FALSE) / VLOOKUP("electricity|SO2|Infant mortality", US_national_yearly!$D:$AM, 10, FALSE), 1)</f>
        <v>2.3873172179508739E-5</v>
      </c>
      <c r="E3" s="7">
        <f>$B3 * IFERROR(VLOOKUP("electricity|SO2|Infant mortality", US_national_yearly!$D:$AM, 13, FALSE) / VLOOKUP("electricity|SO2|Infant mortality", US_national_yearly!$D:$AM, 10, FALSE), 1)</f>
        <v>2.3668023025640383E-5</v>
      </c>
      <c r="F3" s="7">
        <f>$B3 * IFERROR(VLOOKUP("electricity|SO2|Infant mortality", US_national_yearly!$D:$AM, 14, FALSE) / VLOOKUP("electricity|SO2|Infant mortality", US_national_yearly!$D:$AM, 10, FALSE), 1)</f>
        <v>2.346287387177203E-5</v>
      </c>
      <c r="G3" s="7">
        <f>$B3 * IFERROR(VLOOKUP("electricity|SO2|Infant mortality", US_national_yearly!$D:$AM, 15, FALSE) / VLOOKUP("electricity|SO2|Infant mortality", US_national_yearly!$D:$AM, 10, FALSE), 1)</f>
        <v>1.5604026531316971E-5</v>
      </c>
      <c r="H3" s="7">
        <f>$B3 * IFERROR(VLOOKUP("electricity|SO2|Infant mortality", US_national_yearly!$D:$AM, 16, FALSE) / VLOOKUP("electricity|SO2|Infant mortality", US_national_yearly!$D:$AM, 10, FALSE), 1)</f>
        <v>7.7451791908619112E-6</v>
      </c>
      <c r="I3" s="7">
        <f>$B3 * IFERROR(VLOOKUP("electricity|SO2|Infant mortality", US_national_yearly!$D:$AM, 17, FALSE) / VLOOKUP("electricity|SO2|Infant mortality", US_national_yearly!$D:$AM, 10, FALSE), 1)</f>
        <v>7.695629556938458E-6</v>
      </c>
      <c r="J3" s="7">
        <f>$B3 * IFERROR(VLOOKUP("electricity|SO2|Infant mortality", US_national_yearly!$D:$AM, 18, FALSE) / VLOOKUP("electricity|SO2|Infant mortality", US_national_yearly!$D:$AM, 10, FALSE), 1)</f>
        <v>7.6460799230150014E-6</v>
      </c>
      <c r="K3" s="7">
        <f>$B3 * IFERROR(VLOOKUP("electricity|SO2|Infant mortality", US_national_yearly!$D:$AM, 19, FALSE) / VLOOKUP("electricity|SO2|Infant mortality", US_national_yearly!$D:$AM, 10, FALSE), 1)</f>
        <v>7.59653028909155E-6</v>
      </c>
      <c r="L3" s="7">
        <f>$B3 * IFERROR(VLOOKUP("electricity|SO2|Infant mortality", US_national_yearly!$D:$AM, 20, FALSE) / VLOOKUP("electricity|SO2|Infant mortality", US_national_yearly!$D:$AM, 10, FALSE), 1)</f>
        <v>7.5469806551680943E-6</v>
      </c>
      <c r="M3" s="7">
        <f>$B3 * IFERROR(VLOOKUP("electricity|SO2|Infant mortality", US_national_yearly!$D:$AM, 21, FALSE) / VLOOKUP("electricity|SO2|Infant mortality", US_national_yearly!$D:$AM, 10, FALSE), 1)</f>
        <v>7.4974310212446402E-6</v>
      </c>
      <c r="N3" s="7">
        <f>$B3 * IFERROR(VLOOKUP("electricity|SO2|Infant mortality", US_national_yearly!$D:$AM, 22, FALSE) / VLOOKUP("electricity|SO2|Infant mortality", US_national_yearly!$D:$AM, 10, FALSE), 1)</f>
        <v>7.4660341774963452E-6</v>
      </c>
      <c r="O3" s="7">
        <f>$B3 * IFERROR(VLOOKUP("electricity|SO2|Infant mortality", US_national_yearly!$D:$AM, 23, FALSE) / VLOOKUP("electricity|SO2|Infant mortality", US_national_yearly!$D:$AM, 10, FALSE), 1)</f>
        <v>7.4346373337480493E-6</v>
      </c>
      <c r="P3" s="7">
        <f>$B3 * IFERROR(VLOOKUP("electricity|SO2|Infant mortality", US_national_yearly!$D:$AM, 24, FALSE) / VLOOKUP("electricity|SO2|Infant mortality", US_national_yearly!$D:$AM, 10, FALSE), 1)</f>
        <v>7.4032404899997525E-6</v>
      </c>
      <c r="Q3" s="7">
        <f>$B3 * IFERROR(VLOOKUP("electricity|SO2|Infant mortality", US_national_yearly!$D:$AM, 25, FALSE) / VLOOKUP("electricity|SO2|Infant mortality", US_national_yearly!$D:$AM, 10, FALSE), 1)</f>
        <v>7.3718436462514574E-6</v>
      </c>
      <c r="R3" s="7">
        <f>$B3 * IFERROR(VLOOKUP("electricity|SO2|Infant mortality", US_national_yearly!$D:$AM, 26, FALSE) / VLOOKUP("electricity|SO2|Infant mortality", US_national_yearly!$D:$AM, 10, FALSE), 1)</f>
        <v>7.3404468025031615E-6</v>
      </c>
      <c r="S3" s="7">
        <f>$B3 * IFERROR(VLOOKUP("electricity|SO2|Infant mortality", US_national_yearly!$D:$AM, 27, FALSE) / VLOOKUP("electricity|SO2|Infant mortality", US_national_yearly!$D:$AM, 10, FALSE), 1)</f>
        <v>7.3013146150906453E-6</v>
      </c>
      <c r="T3" s="7">
        <f>$B3 * IFERROR(VLOOKUP("electricity|SO2|Infant mortality", US_national_yearly!$D:$AM, 28, FALSE) / VLOOKUP("electricity|SO2|Infant mortality", US_national_yearly!$D:$AM, 10, FALSE), 1)</f>
        <v>7.2621824276781291E-6</v>
      </c>
      <c r="U3" s="7">
        <f>$B3 * IFERROR(VLOOKUP("electricity|SO2|Infant mortality", US_national_yearly!$D:$AM, 29, FALSE) / VLOOKUP("electricity|SO2|Infant mortality", US_national_yearly!$D:$AM, 10, FALSE), 1)</f>
        <v>7.2230502402656137E-6</v>
      </c>
      <c r="V3" s="7">
        <f>$B3 * IFERROR(VLOOKUP("electricity|SO2|Infant mortality", US_national_yearly!$D:$AM, 30, FALSE) / VLOOKUP("electricity|SO2|Infant mortality", US_national_yearly!$D:$AM, 10, FALSE), 1)</f>
        <v>7.1839180528530983E-6</v>
      </c>
      <c r="W3" s="7">
        <f>$B3 * IFERROR(VLOOKUP("electricity|SO2|Infant mortality", US_national_yearly!$D:$AM, 31, FALSE) / VLOOKUP("electricity|SO2|Infant mortality", US_national_yearly!$D:$AM, 10, FALSE), 1)</f>
        <v>7.1447858654405813E-6</v>
      </c>
      <c r="X3" s="7">
        <f>$B3 * IFERROR(VLOOKUP("electricity|SO2|Infant mortality", US_national_yearly!$D:$AM, 32, FALSE) / VLOOKUP("electricity|SO2|Infant mortality", US_national_yearly!$D:$AM, 10, FALSE), 1)</f>
        <v>7.1030329674151523E-6</v>
      </c>
      <c r="Y3" s="7">
        <f>$B3 * IFERROR(VLOOKUP("electricity|SO2|Infant mortality", US_national_yearly!$D:$AM, 33, FALSE) / VLOOKUP("electricity|SO2|Infant mortality", US_national_yearly!$D:$AM, 10, FALSE), 1)</f>
        <v>7.0612800693897199E-6</v>
      </c>
      <c r="Z3" s="7">
        <f>$B3 * IFERROR(VLOOKUP("electricity|SO2|Infant mortality", US_national_yearly!$D:$AM, 34, FALSE) / VLOOKUP("electricity|SO2|Infant mortality", US_national_yearly!$D:$AM, 10, FALSE), 1)</f>
        <v>7.0195271713642901E-6</v>
      </c>
      <c r="AA3" s="7">
        <f>$B3 * IFERROR(VLOOKUP("electricity|SO2|Infant mortality", US_national_yearly!$D:$AM, 35, FALSE) / VLOOKUP("electricity|SO2|Infant mortality", US_national_yearly!$D:$AM, 10, FALSE), 1)</f>
        <v>6.9777742733388611E-6</v>
      </c>
      <c r="AB3" s="7">
        <f>$B3 * IFERROR(VLOOKUP("electricity|SO2|Infant mortality", US_national_yearly!$D:$AM, 36, FALSE) / VLOOKUP("electricity|SO2|Infant mortality", US_national_yearly!$D:$AM, 10, FALSE), 1)</f>
        <v>6.9360213753134305E-6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3.6974092288181819E-2</v>
      </c>
      <c r="C6" s="7">
        <f>$B6 * IFERROR(VLOOKUP("electricity|SO2|Asthma symptoms cough", US_national_yearly!$D:$AM, 11, FALSE) / VLOOKUP("electricity|SO2|Asthma symptoms cough", US_national_yearly!$D:$AM, 10, FALSE), 1)</f>
        <v>3.6974092288181819E-2</v>
      </c>
      <c r="D6" s="7">
        <f>$B6 * IFERROR(VLOOKUP("electricity|SO2|Asthma symptoms cough", US_national_yearly!$D:$AM, 12, FALSE) / VLOOKUP("electricity|SO2|Asthma symptoms cough", US_national_yearly!$D:$AM, 10, FALSE), 1)</f>
        <v>3.6974092288181819E-2</v>
      </c>
      <c r="E6" s="7">
        <f>$B6 * IFERROR(VLOOKUP("electricity|SO2|Asthma symptoms cough", US_national_yearly!$D:$AM, 13, FALSE) / VLOOKUP("electricity|SO2|Asthma symptoms cough", US_national_yearly!$D:$AM, 10, FALSE), 1)</f>
        <v>3.6974092288181819E-2</v>
      </c>
      <c r="F6" s="7">
        <f>$B6 * IFERROR(VLOOKUP("electricity|SO2|Asthma symptoms cough", US_national_yearly!$D:$AM, 14, FALSE) / VLOOKUP("electricity|SO2|Asthma symptoms cough", US_national_yearly!$D:$AM, 10, FALSE), 1)</f>
        <v>3.6974092288181819E-2</v>
      </c>
      <c r="G6" s="7">
        <f>$B6 * IFERROR(VLOOKUP("electricity|SO2|Asthma symptoms cough", US_national_yearly!$D:$AM, 15, FALSE) / VLOOKUP("electricity|SO2|Asthma symptoms cough", US_national_yearly!$D:$AM, 10, FALSE), 1)</f>
        <v>3.6974092288181819E-2</v>
      </c>
      <c r="H6" s="7">
        <f>$B6 * IFERROR(VLOOKUP("electricity|SO2|Asthma symptoms cough", US_national_yearly!$D:$AM, 16, FALSE) / VLOOKUP("electricity|SO2|Asthma symptoms cough", US_national_yearly!$D:$AM, 10, FALSE), 1)</f>
        <v>3.6974092288181819E-2</v>
      </c>
      <c r="I6" s="7">
        <f>$B6 * IFERROR(VLOOKUP("electricity|SO2|Asthma symptoms cough", US_national_yearly!$D:$AM, 17, FALSE) / VLOOKUP("electricity|SO2|Asthma symptoms cough", US_national_yearly!$D:$AM, 10, FALSE), 1)</f>
        <v>3.6974092288181819E-2</v>
      </c>
      <c r="J6" s="7">
        <f>$B6 * IFERROR(VLOOKUP("electricity|SO2|Asthma symptoms cough", US_national_yearly!$D:$AM, 18, FALSE) / VLOOKUP("electricity|SO2|Asthma symptoms cough", US_national_yearly!$D:$AM, 10, FALSE), 1)</f>
        <v>3.6974092288181819E-2</v>
      </c>
      <c r="K6" s="7">
        <f>$B6 * IFERROR(VLOOKUP("electricity|SO2|Asthma symptoms cough", US_national_yearly!$D:$AM, 19, FALSE) / VLOOKUP("electricity|SO2|Asthma symptoms cough", US_national_yearly!$D:$AM, 10, FALSE), 1)</f>
        <v>3.6974092288181819E-2</v>
      </c>
      <c r="L6" s="7">
        <f>$B6 * IFERROR(VLOOKUP("electricity|SO2|Asthma symptoms cough", US_national_yearly!$D:$AM, 20, FALSE) / VLOOKUP("electricity|SO2|Asthma symptoms cough", US_national_yearly!$D:$AM, 10, FALSE), 1)</f>
        <v>3.6974092288181819E-2</v>
      </c>
      <c r="M6" s="7">
        <f>$B6 * IFERROR(VLOOKUP("electricity|SO2|Asthma symptoms cough", US_national_yearly!$D:$AM, 21, FALSE) / VLOOKUP("electricity|SO2|Asthma symptoms cough", US_national_yearly!$D:$AM, 10, FALSE), 1)</f>
        <v>3.6974092288181819E-2</v>
      </c>
      <c r="N6" s="7">
        <f>$B6 * IFERROR(VLOOKUP("electricity|SO2|Asthma symptoms cough", US_national_yearly!$D:$AM, 22, FALSE) / VLOOKUP("electricity|SO2|Asthma symptoms cough", US_national_yearly!$D:$AM, 10, FALSE), 1)</f>
        <v>3.6974092288181819E-2</v>
      </c>
      <c r="O6" s="7">
        <f>$B6 * IFERROR(VLOOKUP("electricity|SO2|Asthma symptoms cough", US_national_yearly!$D:$AM, 23, FALSE) / VLOOKUP("electricity|SO2|Asthma symptoms cough", US_national_yearly!$D:$AM, 10, FALSE), 1)</f>
        <v>3.6974092288181819E-2</v>
      </c>
      <c r="P6" s="7">
        <f>$B6 * IFERROR(VLOOKUP("electricity|SO2|Asthma symptoms cough", US_national_yearly!$D:$AM, 24, FALSE) / VLOOKUP("electricity|SO2|Asthma symptoms cough", US_national_yearly!$D:$AM, 10, FALSE), 1)</f>
        <v>3.6974092288181819E-2</v>
      </c>
      <c r="Q6" s="7">
        <f>$B6 * IFERROR(VLOOKUP("electricity|SO2|Asthma symptoms cough", US_national_yearly!$D:$AM, 25, FALSE) / VLOOKUP("electricity|SO2|Asthma symptoms cough", US_national_yearly!$D:$AM, 10, FALSE), 1)</f>
        <v>3.6974092288181819E-2</v>
      </c>
      <c r="R6" s="7">
        <f>$B6 * IFERROR(VLOOKUP("electricity|SO2|Asthma symptoms cough", US_national_yearly!$D:$AM, 26, FALSE) / VLOOKUP("electricity|SO2|Asthma symptoms cough", US_national_yearly!$D:$AM, 10, FALSE), 1)</f>
        <v>3.6974092288181819E-2</v>
      </c>
      <c r="S6" s="7">
        <f>$B6 * IFERROR(VLOOKUP("electricity|SO2|Asthma symptoms cough", US_national_yearly!$D:$AM, 27, FALSE) / VLOOKUP("electricity|SO2|Asthma symptoms cough", US_national_yearly!$D:$AM, 10, FALSE), 1)</f>
        <v>3.6974092288181819E-2</v>
      </c>
      <c r="T6" s="7">
        <f>$B6 * IFERROR(VLOOKUP("electricity|SO2|Asthma symptoms cough", US_national_yearly!$D:$AM, 28, FALSE) / VLOOKUP("electricity|SO2|Asthma symptoms cough", US_national_yearly!$D:$AM, 10, FALSE), 1)</f>
        <v>3.6974092288181819E-2</v>
      </c>
      <c r="U6" s="7">
        <f>$B6 * IFERROR(VLOOKUP("electricity|SO2|Asthma symptoms cough", US_national_yearly!$D:$AM, 29, FALSE) / VLOOKUP("electricity|SO2|Asthma symptoms cough", US_national_yearly!$D:$AM, 10, FALSE), 1)</f>
        <v>3.6974092288181819E-2</v>
      </c>
      <c r="V6" s="7">
        <f>$B6 * IFERROR(VLOOKUP("electricity|SO2|Asthma symptoms cough", US_national_yearly!$D:$AM, 30, FALSE) / VLOOKUP("electricity|SO2|Asthma symptoms cough", US_national_yearly!$D:$AM, 10, FALSE), 1)</f>
        <v>3.6974092288181819E-2</v>
      </c>
      <c r="W6" s="7">
        <f>$B6 * IFERROR(VLOOKUP("electricity|SO2|Asthma symptoms cough", US_national_yearly!$D:$AM, 31, FALSE) / VLOOKUP("electricity|SO2|Asthma symptoms cough", US_national_yearly!$D:$AM, 10, FALSE), 1)</f>
        <v>3.6974092288181819E-2</v>
      </c>
      <c r="X6" s="7">
        <f>$B6 * IFERROR(VLOOKUP("electricity|SO2|Asthma symptoms cough", US_national_yearly!$D:$AM, 32, FALSE) / VLOOKUP("electricity|SO2|Asthma symptoms cough", US_national_yearly!$D:$AM, 10, FALSE), 1)</f>
        <v>3.6974092288181819E-2</v>
      </c>
      <c r="Y6" s="7">
        <f>$B6 * IFERROR(VLOOKUP("electricity|SO2|Asthma symptoms cough", US_national_yearly!$D:$AM, 33, FALSE) / VLOOKUP("electricity|SO2|Asthma symptoms cough", US_national_yearly!$D:$AM, 10, FALSE), 1)</f>
        <v>3.6974092288181819E-2</v>
      </c>
      <c r="Z6" s="7">
        <f>$B6 * IFERROR(VLOOKUP("electricity|SO2|Asthma symptoms cough", US_national_yearly!$D:$AM, 34, FALSE) / VLOOKUP("electricity|SO2|Asthma symptoms cough", US_national_yearly!$D:$AM, 10, FALSE), 1)</f>
        <v>3.6974092288181819E-2</v>
      </c>
      <c r="AA6" s="7">
        <f>$B6 * IFERROR(VLOOKUP("electricity|SO2|Asthma symptoms cough", US_national_yearly!$D:$AM, 35, FALSE) / VLOOKUP("electricity|SO2|Asthma symptoms cough", US_national_yearly!$D:$AM, 10, FALSE), 1)</f>
        <v>3.6974092288181819E-2</v>
      </c>
      <c r="AB6" s="7">
        <f>$B6 * IFERROR(VLOOKUP("electricity|SO2|Asthma symptoms cough", US_national_yearly!$D:$AM, 36, FALSE) / VLOOKUP("electricity|SO2|Asthma symptoms cough", US_national_yearly!$D:$AM, 10, FALSE), 1)</f>
        <v>3.6974092288181819E-2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4.9791009013152421E-2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4.9791009013152421E-2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4.9791009013152421E-2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4.9791009013152421E-2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4.9791009013152421E-2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4.9791009013152421E-2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4.9791009013152421E-2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4.9791009013152421E-2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4.9791009013152421E-2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4.9791009013152421E-2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4.9791009013152421E-2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4.9791009013152421E-2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4.9791009013152421E-2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4.9791009013152421E-2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4.9791009013152421E-2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4.9791009013152421E-2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4.9791009013152421E-2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4.9791009013152421E-2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4.9791009013152421E-2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4.9791009013152421E-2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4.9791009013152421E-2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4.9791009013152421E-2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4.9791009013152421E-2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4.9791009013152421E-2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4.9791009013152421E-2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4.9791009013152421E-2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4.9791009013152421E-2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7.6072121248253466E-2</v>
      </c>
      <c r="C8" s="7">
        <f>$B8 * IFERROR(VLOOKUP("electricity|SO2|Asthma symptoms wheeze", US_national_yearly!$D:$AM, 11, FALSE) / VLOOKUP("electricity|SO2|Asthma symptoms wheeze", US_national_yearly!$D:$AM, 10, FALSE), 1)</f>
        <v>7.6072121248253466E-2</v>
      </c>
      <c r="D8" s="7">
        <f>$B8 * IFERROR(VLOOKUP("electricity|SO2|Asthma symptoms wheeze", US_national_yearly!$D:$AM, 12, FALSE) / VLOOKUP("electricity|SO2|Asthma symptoms wheeze", US_national_yearly!$D:$AM, 10, FALSE), 1)</f>
        <v>7.6072121248253466E-2</v>
      </c>
      <c r="E8" s="7">
        <f>$B8 * IFERROR(VLOOKUP("electricity|SO2|Asthma symptoms wheeze", US_national_yearly!$D:$AM, 13, FALSE) / VLOOKUP("electricity|SO2|Asthma symptoms wheeze", US_national_yearly!$D:$AM, 10, FALSE), 1)</f>
        <v>7.6072121248253466E-2</v>
      </c>
      <c r="F8" s="7">
        <f>$B8 * IFERROR(VLOOKUP("electricity|SO2|Asthma symptoms wheeze", US_national_yearly!$D:$AM, 14, FALSE) / VLOOKUP("electricity|SO2|Asthma symptoms wheeze", US_national_yearly!$D:$AM, 10, FALSE), 1)</f>
        <v>7.6072121248253466E-2</v>
      </c>
      <c r="G8" s="7">
        <f>$B8 * IFERROR(VLOOKUP("electricity|SO2|Asthma symptoms wheeze", US_national_yearly!$D:$AM, 15, FALSE) / VLOOKUP("electricity|SO2|Asthma symptoms wheeze", US_national_yearly!$D:$AM, 10, FALSE), 1)</f>
        <v>7.6072121248253466E-2</v>
      </c>
      <c r="H8" s="7">
        <f>$B8 * IFERROR(VLOOKUP("electricity|SO2|Asthma symptoms wheeze", US_national_yearly!$D:$AM, 16, FALSE) / VLOOKUP("electricity|SO2|Asthma symptoms wheeze", US_national_yearly!$D:$AM, 10, FALSE), 1)</f>
        <v>7.6072121248253466E-2</v>
      </c>
      <c r="I8" s="7">
        <f>$B8 * IFERROR(VLOOKUP("electricity|SO2|Asthma symptoms wheeze", US_national_yearly!$D:$AM, 17, FALSE) / VLOOKUP("electricity|SO2|Asthma symptoms wheeze", US_national_yearly!$D:$AM, 10, FALSE), 1)</f>
        <v>7.6072121248253466E-2</v>
      </c>
      <c r="J8" s="7">
        <f>$B8 * IFERROR(VLOOKUP("electricity|SO2|Asthma symptoms wheeze", US_national_yearly!$D:$AM, 18, FALSE) / VLOOKUP("electricity|SO2|Asthma symptoms wheeze", US_national_yearly!$D:$AM, 10, FALSE), 1)</f>
        <v>7.6072121248253466E-2</v>
      </c>
      <c r="K8" s="7">
        <f>$B8 * IFERROR(VLOOKUP("electricity|SO2|Asthma symptoms wheeze", US_national_yearly!$D:$AM, 19, FALSE) / VLOOKUP("electricity|SO2|Asthma symptoms wheeze", US_national_yearly!$D:$AM, 10, FALSE), 1)</f>
        <v>7.6072121248253466E-2</v>
      </c>
      <c r="L8" s="7">
        <f>$B8 * IFERROR(VLOOKUP("electricity|SO2|Asthma symptoms wheeze", US_national_yearly!$D:$AM, 20, FALSE) / VLOOKUP("electricity|SO2|Asthma symptoms wheeze", US_national_yearly!$D:$AM, 10, FALSE), 1)</f>
        <v>7.6072121248253466E-2</v>
      </c>
      <c r="M8" s="7">
        <f>$B8 * IFERROR(VLOOKUP("electricity|SO2|Asthma symptoms wheeze", US_national_yearly!$D:$AM, 21, FALSE) / VLOOKUP("electricity|SO2|Asthma symptoms wheeze", US_national_yearly!$D:$AM, 10, FALSE), 1)</f>
        <v>7.6072121248253466E-2</v>
      </c>
      <c r="N8" s="7">
        <f>$B8 * IFERROR(VLOOKUP("electricity|SO2|Asthma symptoms wheeze", US_national_yearly!$D:$AM, 22, FALSE) / VLOOKUP("electricity|SO2|Asthma symptoms wheeze", US_national_yearly!$D:$AM, 10, FALSE), 1)</f>
        <v>7.6072121248253466E-2</v>
      </c>
      <c r="O8" s="7">
        <f>$B8 * IFERROR(VLOOKUP("electricity|SO2|Asthma symptoms wheeze", US_national_yearly!$D:$AM, 23, FALSE) / VLOOKUP("electricity|SO2|Asthma symptoms wheeze", US_national_yearly!$D:$AM, 10, FALSE), 1)</f>
        <v>7.6072121248253466E-2</v>
      </c>
      <c r="P8" s="7">
        <f>$B8 * IFERROR(VLOOKUP("electricity|SO2|Asthma symptoms wheeze", US_national_yearly!$D:$AM, 24, FALSE) / VLOOKUP("electricity|SO2|Asthma symptoms wheeze", US_national_yearly!$D:$AM, 10, FALSE), 1)</f>
        <v>7.6072121248253466E-2</v>
      </c>
      <c r="Q8" s="7">
        <f>$B8 * IFERROR(VLOOKUP("electricity|SO2|Asthma symptoms wheeze", US_national_yearly!$D:$AM, 25, FALSE) / VLOOKUP("electricity|SO2|Asthma symptoms wheeze", US_national_yearly!$D:$AM, 10, FALSE), 1)</f>
        <v>7.6072121248253466E-2</v>
      </c>
      <c r="R8" s="7">
        <f>$B8 * IFERROR(VLOOKUP("electricity|SO2|Asthma symptoms wheeze", US_national_yearly!$D:$AM, 26, FALSE) / VLOOKUP("electricity|SO2|Asthma symptoms wheeze", US_national_yearly!$D:$AM, 10, FALSE), 1)</f>
        <v>7.6072121248253466E-2</v>
      </c>
      <c r="S8" s="7">
        <f>$B8 * IFERROR(VLOOKUP("electricity|SO2|Asthma symptoms wheeze", US_national_yearly!$D:$AM, 27, FALSE) / VLOOKUP("electricity|SO2|Asthma symptoms wheeze", US_national_yearly!$D:$AM, 10, FALSE), 1)</f>
        <v>7.6072121248253466E-2</v>
      </c>
      <c r="T8" s="7">
        <f>$B8 * IFERROR(VLOOKUP("electricity|SO2|Asthma symptoms wheeze", US_national_yearly!$D:$AM, 28, FALSE) / VLOOKUP("electricity|SO2|Asthma symptoms wheeze", US_national_yearly!$D:$AM, 10, FALSE), 1)</f>
        <v>7.6072121248253466E-2</v>
      </c>
      <c r="U8" s="7">
        <f>$B8 * IFERROR(VLOOKUP("electricity|SO2|Asthma symptoms wheeze", US_national_yearly!$D:$AM, 29, FALSE) / VLOOKUP("electricity|SO2|Asthma symptoms wheeze", US_national_yearly!$D:$AM, 10, FALSE), 1)</f>
        <v>7.6072121248253466E-2</v>
      </c>
      <c r="V8" s="7">
        <f>$B8 * IFERROR(VLOOKUP("electricity|SO2|Asthma symptoms wheeze", US_national_yearly!$D:$AM, 30, FALSE) / VLOOKUP("electricity|SO2|Asthma symptoms wheeze", US_national_yearly!$D:$AM, 10, FALSE), 1)</f>
        <v>7.6072121248253466E-2</v>
      </c>
      <c r="W8" s="7">
        <f>$B8 * IFERROR(VLOOKUP("electricity|SO2|Asthma symptoms wheeze", US_national_yearly!$D:$AM, 31, FALSE) / VLOOKUP("electricity|SO2|Asthma symptoms wheeze", US_national_yearly!$D:$AM, 10, FALSE), 1)</f>
        <v>7.6072121248253466E-2</v>
      </c>
      <c r="X8" s="7">
        <f>$B8 * IFERROR(VLOOKUP("electricity|SO2|Asthma symptoms wheeze", US_national_yearly!$D:$AM, 32, FALSE) / VLOOKUP("electricity|SO2|Asthma symptoms wheeze", US_national_yearly!$D:$AM, 10, FALSE), 1)</f>
        <v>7.6072121248253466E-2</v>
      </c>
      <c r="Y8" s="7">
        <f>$B8 * IFERROR(VLOOKUP("electricity|SO2|Asthma symptoms wheeze", US_national_yearly!$D:$AM, 33, FALSE) / VLOOKUP("electricity|SO2|Asthma symptoms wheeze", US_national_yearly!$D:$AM, 10, FALSE), 1)</f>
        <v>7.6072121248253466E-2</v>
      </c>
      <c r="Z8" s="7">
        <f>$B8 * IFERROR(VLOOKUP("electricity|SO2|Asthma symptoms wheeze", US_national_yearly!$D:$AM, 34, FALSE) / VLOOKUP("electricity|SO2|Asthma symptoms wheeze", US_national_yearly!$D:$AM, 10, FALSE), 1)</f>
        <v>7.6072121248253466E-2</v>
      </c>
      <c r="AA8" s="7">
        <f>$B8 * IFERROR(VLOOKUP("electricity|SO2|Asthma symptoms wheeze", US_national_yearly!$D:$AM, 35, FALSE) / VLOOKUP("electricity|SO2|Asthma symptoms wheeze", US_national_yearly!$D:$AM, 10, FALSE), 1)</f>
        <v>7.6072121248253466E-2</v>
      </c>
      <c r="AB8" s="7">
        <f>$B8 * IFERROR(VLOOKUP("electricity|SO2|Asthma symptoms wheeze", US_national_yearly!$D:$AM, 36, FALSE) / VLOOKUP("electricity|SO2|Asthma symptoms wheeze", US_national_yearly!$D:$AM, 10, FALSE), 1)</f>
        <v>7.6072121248253466E-2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1.2889611694953077E-3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1.2965526750503724E-3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1.3041441806054374E-3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1.3117356861605022E-3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1.3193271917155672E-3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1.3275996216380334E-3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1.3358720515604999E-3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1.3438302500409787E-3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1.3517884485214574E-3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1.3597466470019364E-3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1.367704845482415E-3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1.3756630439628939E-3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1.3813711446051707E-3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1.3870792452474478E-3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1.3927873458897246E-3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1.3984954465320015E-3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1.4042035471742785E-3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1.4095911539529283E-3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1.4149787607315781E-3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1.4203663675102277E-3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1.4257539742888777E-3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1.4311415810675276E-3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1.4363100573970755E-3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1.4414785337266238E-3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1.4466470100561724E-3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1.4518154863857201E-3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1.4569839627152686E-3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7.0087418500646859E-3</v>
      </c>
      <c r="C13" s="7">
        <f>$B13 * IFERROR(VLOOKUP("electricity|SO2|Non-fatal heart attacks", US_national_yearly!$D:$AM, 11, FALSE) / VLOOKUP("electricity|SO2|Non-fatal heart attacks", US_national_yearly!$D:$AM, 10, FALSE), 1)</f>
        <v>7.2151883328582644E-3</v>
      </c>
      <c r="D13" s="7">
        <f>$B13 * IFERROR(VLOOKUP("electricity|SO2|Non-fatal heart attacks", US_national_yearly!$D:$AM, 12, FALSE) / VLOOKUP("electricity|SO2|Non-fatal heart attacks", US_national_yearly!$D:$AM, 10, FALSE), 1)</f>
        <v>7.4216348156518393E-3</v>
      </c>
      <c r="E13" s="7">
        <f>$B13 * IFERROR(VLOOKUP("electricity|SO2|Non-fatal heart attacks", US_national_yearly!$D:$AM, 13, FALSE) / VLOOKUP("electricity|SO2|Non-fatal heart attacks", US_national_yearly!$D:$AM, 10, FALSE), 1)</f>
        <v>7.6280812984454178E-3</v>
      </c>
      <c r="F13" s="7">
        <f>$B13 * IFERROR(VLOOKUP("electricity|SO2|Non-fatal heart attacks", US_national_yearly!$D:$AM, 14, FALSE) / VLOOKUP("electricity|SO2|Non-fatal heart attacks", US_national_yearly!$D:$AM, 10, FALSE), 1)</f>
        <v>7.8345277812389945E-3</v>
      </c>
      <c r="G13" s="7">
        <f>$B13 * IFERROR(VLOOKUP("electricity|SO2|Non-fatal heart attacks", US_national_yearly!$D:$AM, 15, FALSE) / VLOOKUP("electricity|SO2|Non-fatal heart attacks", US_national_yearly!$D:$AM, 10, FALSE), 1)</f>
        <v>8.03045168743707E-3</v>
      </c>
      <c r="H13" s="7">
        <f>$B13 * IFERROR(VLOOKUP("electricity|SO2|Non-fatal heart attacks", US_national_yearly!$D:$AM, 16, FALSE) / VLOOKUP("electricity|SO2|Non-fatal heart attacks", US_national_yearly!$D:$AM, 10, FALSE), 1)</f>
        <v>8.2263755936351456E-3</v>
      </c>
      <c r="I13" s="7">
        <f>$B13 * IFERROR(VLOOKUP("electricity|SO2|Non-fatal heart attacks", US_national_yearly!$D:$AM, 17, FALSE) / VLOOKUP("electricity|SO2|Non-fatal heart attacks", US_national_yearly!$D:$AM, 10, FALSE), 1)</f>
        <v>8.385933189435946E-3</v>
      </c>
      <c r="J13" s="7">
        <f>$B13 * IFERROR(VLOOKUP("electricity|SO2|Non-fatal heart attacks", US_national_yearly!$D:$AM, 18, FALSE) / VLOOKUP("electricity|SO2|Non-fatal heart attacks", US_national_yearly!$D:$AM, 10, FALSE), 1)</f>
        <v>8.5454907852367448E-3</v>
      </c>
      <c r="K13" s="7">
        <f>$B13 * IFERROR(VLOOKUP("electricity|SO2|Non-fatal heart attacks", US_national_yearly!$D:$AM, 19, FALSE) / VLOOKUP("electricity|SO2|Non-fatal heart attacks", US_national_yearly!$D:$AM, 10, FALSE), 1)</f>
        <v>8.7050483810375452E-3</v>
      </c>
      <c r="L13" s="7">
        <f>$B13 * IFERROR(VLOOKUP("electricity|SO2|Non-fatal heart attacks", US_national_yearly!$D:$AM, 20, FALSE) / VLOOKUP("electricity|SO2|Non-fatal heart attacks", US_national_yearly!$D:$AM, 10, FALSE), 1)</f>
        <v>8.8646059768383439E-3</v>
      </c>
      <c r="M13" s="7">
        <f>$B13 * IFERROR(VLOOKUP("electricity|SO2|Non-fatal heart attacks", US_national_yearly!$D:$AM, 21, FALSE) / VLOOKUP("electricity|SO2|Non-fatal heart attacks", US_national_yearly!$D:$AM, 10, FALSE), 1)</f>
        <v>9.0241635726391444E-3</v>
      </c>
      <c r="N13" s="7">
        <f>$B13 * IFERROR(VLOOKUP("electricity|SO2|Non-fatal heart attacks", US_national_yearly!$D:$AM, 22, FALSE) / VLOOKUP("electricity|SO2|Non-fatal heart attacks", US_national_yearly!$D:$AM, 10, FALSE), 1)</f>
        <v>9.1293842953460349E-3</v>
      </c>
      <c r="O13" s="7">
        <f>$B13 * IFERROR(VLOOKUP("electricity|SO2|Non-fatal heart attacks", US_national_yearly!$D:$AM, 23, FALSE) / VLOOKUP("electricity|SO2|Non-fatal heart attacks", US_national_yearly!$D:$AM, 10, FALSE), 1)</f>
        <v>9.2346050180529236E-3</v>
      </c>
      <c r="P13" s="7">
        <f>$B13 * IFERROR(VLOOKUP("electricity|SO2|Non-fatal heart attacks", US_national_yearly!$D:$AM, 24, FALSE) / VLOOKUP("electricity|SO2|Non-fatal heart attacks", US_national_yearly!$D:$AM, 10, FALSE), 1)</f>
        <v>9.3398257407598141E-3</v>
      </c>
      <c r="Q13" s="7">
        <f>$B13 * IFERROR(VLOOKUP("electricity|SO2|Non-fatal heart attacks", US_national_yearly!$D:$AM, 25, FALSE) / VLOOKUP("electricity|SO2|Non-fatal heart attacks", US_national_yearly!$D:$AM, 10, FALSE), 1)</f>
        <v>9.4450464634667046E-3</v>
      </c>
      <c r="R13" s="7">
        <f>$B13 * IFERROR(VLOOKUP("electricity|SO2|Non-fatal heart attacks", US_national_yearly!$D:$AM, 26, FALSE) / VLOOKUP("electricity|SO2|Non-fatal heart attacks", US_national_yearly!$D:$AM, 10, FALSE), 1)</f>
        <v>9.5502671861735951E-3</v>
      </c>
      <c r="S13" s="7">
        <f>$B13 * IFERROR(VLOOKUP("electricity|SO2|Non-fatal heart attacks", US_national_yearly!$D:$AM, 27, FALSE) / VLOOKUP("electricity|SO2|Non-fatal heart attacks", US_national_yearly!$D:$AM, 10, FALSE), 1)</f>
        <v>9.6075257995305065E-3</v>
      </c>
      <c r="T13" s="7">
        <f>$B13 * IFERROR(VLOOKUP("electricity|SO2|Non-fatal heart attacks", US_national_yearly!$D:$AM, 28, FALSE) / VLOOKUP("electricity|SO2|Non-fatal heart attacks", US_national_yearly!$D:$AM, 10, FALSE), 1)</f>
        <v>9.6647844128874213E-3</v>
      </c>
      <c r="U13" s="7">
        <f>$B13 * IFERROR(VLOOKUP("electricity|SO2|Non-fatal heart attacks", US_national_yearly!$D:$AM, 29, FALSE) / VLOOKUP("electricity|SO2|Non-fatal heart attacks", US_national_yearly!$D:$AM, 10, FALSE), 1)</f>
        <v>9.7220430262443345E-3</v>
      </c>
      <c r="V13" s="7">
        <f>$B13 * IFERROR(VLOOKUP("electricity|SO2|Non-fatal heart attacks", US_national_yearly!$D:$AM, 30, FALSE) / VLOOKUP("electricity|SO2|Non-fatal heart attacks", US_national_yearly!$D:$AM, 10, FALSE), 1)</f>
        <v>9.7793016396012459E-3</v>
      </c>
      <c r="W13" s="7">
        <f>$B13 * IFERROR(VLOOKUP("electricity|SO2|Non-fatal heart attacks", US_national_yearly!$D:$AM, 31, FALSE) / VLOOKUP("electricity|SO2|Non-fatal heart attacks", US_national_yearly!$D:$AM, 10, FALSE), 1)</f>
        <v>9.836560252958159E-3</v>
      </c>
      <c r="X13" s="7">
        <f>$B13 * IFERROR(VLOOKUP("electricity|SO2|Non-fatal heart attacks", US_national_yearly!$D:$AM, 32, FALSE) / VLOOKUP("electricity|SO2|Non-fatal heart attacks", US_national_yearly!$D:$AM, 10, FALSE), 1)</f>
        <v>9.8805444271081056E-3</v>
      </c>
      <c r="Y13" s="7">
        <f>$B13 * IFERROR(VLOOKUP("electricity|SO2|Non-fatal heart attacks", US_national_yearly!$D:$AM, 33, FALSE) / VLOOKUP("electricity|SO2|Non-fatal heart attacks", US_national_yearly!$D:$AM, 10, FALSE), 1)</f>
        <v>9.9245286012580539E-3</v>
      </c>
      <c r="Z13" s="7">
        <f>$B13 * IFERROR(VLOOKUP("electricity|SO2|Non-fatal heart attacks", US_national_yearly!$D:$AM, 34, FALSE) / VLOOKUP("electricity|SO2|Non-fatal heart attacks", US_national_yearly!$D:$AM, 10, FALSE), 1)</f>
        <v>9.9685127754079988E-3</v>
      </c>
      <c r="AA13" s="7">
        <f>$B13 * IFERROR(VLOOKUP("electricity|SO2|Non-fatal heart attacks", US_national_yearly!$D:$AM, 35, FALSE) / VLOOKUP("electricity|SO2|Non-fatal heart attacks", US_national_yearly!$D:$AM, 10, FALSE), 1)</f>
        <v>1.0012496949557945E-2</v>
      </c>
      <c r="AB13" s="7">
        <f>$B13 * IFERROR(VLOOKUP("electricity|SO2|Non-fatal heart attacks", US_national_yearly!$D:$AM, 36, FALSE) / VLOOKUP("electricity|SO2|Non-fatal heart attacks", US_national_yearly!$D:$AM, 10, FALSE), 1)</f>
        <v>1.0056481123707892E-2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5.2200712013544077</v>
      </c>
      <c r="C14" s="7">
        <f>$B14 * IFERROR(VLOOKUP("electricity|SO2|Minor restricted activity days", US_national_yearly!$D:$AM, 11, FALSE) / VLOOKUP("electricity|SO2|Minor restricted activity days", US_national_yearly!$D:$AM, 10, FALSE), 1)</f>
        <v>5.2331889905684514</v>
      </c>
      <c r="D14" s="7">
        <f>$B14 * IFERROR(VLOOKUP("electricity|SO2|Minor restricted activity days", US_national_yearly!$D:$AM, 12, FALSE) / VLOOKUP("electricity|SO2|Minor restricted activity days", US_national_yearly!$D:$AM, 10, FALSE), 1)</f>
        <v>5.2463067797824952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5.2594245689965398</v>
      </c>
      <c r="F14" s="7">
        <f>$B14 * IFERROR(VLOOKUP("electricity|SO2|Minor restricted activity days", US_national_yearly!$D:$AM, 14, FALSE) / VLOOKUP("electricity|SO2|Minor restricted activity days", US_national_yearly!$D:$AM, 10, FALSE), 1)</f>
        <v>5.2725423582105817</v>
      </c>
      <c r="G14" s="7">
        <f>$B14 * IFERROR(VLOOKUP("electricity|SO2|Minor restricted activity days", US_national_yearly!$D:$AM, 15, FALSE) / VLOOKUP("electricity|SO2|Minor restricted activity days", US_national_yearly!$D:$AM, 10, FALSE), 1)</f>
        <v>5.2914947276445536</v>
      </c>
      <c r="H14" s="7">
        <f>$B14 * IFERROR(VLOOKUP("electricity|SO2|Minor restricted activity days", US_national_yearly!$D:$AM, 16, FALSE) / VLOOKUP("electricity|SO2|Minor restricted activity days", US_national_yearly!$D:$AM, 10, FALSE), 1)</f>
        <v>5.3104470970785265</v>
      </c>
      <c r="I14" s="7">
        <f>$B14 * IFERROR(VLOOKUP("electricity|SO2|Minor restricted activity days", US_national_yearly!$D:$AM, 17, FALSE) / VLOOKUP("electricity|SO2|Minor restricted activity days", US_national_yearly!$D:$AM, 10, FALSE), 1)</f>
        <v>5.3429518698231826</v>
      </c>
      <c r="J14" s="7">
        <f>$B14 * IFERROR(VLOOKUP("electricity|SO2|Minor restricted activity days", US_national_yearly!$D:$AM, 18, FALSE) / VLOOKUP("electricity|SO2|Minor restricted activity days", US_national_yearly!$D:$AM, 10, FALSE), 1)</f>
        <v>5.3754566425678405</v>
      </c>
      <c r="K14" s="7">
        <f>$B14 * IFERROR(VLOOKUP("electricity|SO2|Minor restricted activity days", US_national_yearly!$D:$AM, 19, FALSE) / VLOOKUP("electricity|SO2|Minor restricted activity days", US_national_yearly!$D:$AM, 10, FALSE), 1)</f>
        <v>5.4079614153124966</v>
      </c>
      <c r="L14" s="7">
        <f>$B14 * IFERROR(VLOOKUP("electricity|SO2|Minor restricted activity days", US_national_yearly!$D:$AM, 20, FALSE) / VLOOKUP("electricity|SO2|Minor restricted activity days", US_national_yearly!$D:$AM, 10, FALSE), 1)</f>
        <v>5.4404661880571563</v>
      </c>
      <c r="M14" s="7">
        <f>$B14 * IFERROR(VLOOKUP("electricity|SO2|Minor restricted activity days", US_national_yearly!$D:$AM, 21, FALSE) / VLOOKUP("electricity|SO2|Minor restricted activity days", US_national_yearly!$D:$AM, 10, FALSE), 1)</f>
        <v>5.4729709608018124</v>
      </c>
      <c r="N14" s="7">
        <f>$B14 * IFERROR(VLOOKUP("electricity|SO2|Minor restricted activity days", US_national_yearly!$D:$AM, 22, FALSE) / VLOOKUP("electricity|SO2|Minor restricted activity days", US_national_yearly!$D:$AM, 10, FALSE), 1)</f>
        <v>5.5177347281025391</v>
      </c>
      <c r="O14" s="7">
        <f>$B14 * IFERROR(VLOOKUP("electricity|SO2|Minor restricted activity days", US_national_yearly!$D:$AM, 23, FALSE) / VLOOKUP("electricity|SO2|Minor restricted activity days", US_national_yearly!$D:$AM, 10, FALSE), 1)</f>
        <v>5.5624984954032639</v>
      </c>
      <c r="P14" s="7">
        <f>$B14 * IFERROR(VLOOKUP("electricity|SO2|Minor restricted activity days", US_national_yearly!$D:$AM, 24, FALSE) / VLOOKUP("electricity|SO2|Minor restricted activity days", US_national_yearly!$D:$AM, 10, FALSE), 1)</f>
        <v>5.6072622627039888</v>
      </c>
      <c r="Q14" s="7">
        <f>$B14 * IFERROR(VLOOKUP("electricity|SO2|Minor restricted activity days", US_national_yearly!$D:$AM, 25, FALSE) / VLOOKUP("electricity|SO2|Minor restricted activity days", US_national_yearly!$D:$AM, 10, FALSE), 1)</f>
        <v>5.6520260300047154</v>
      </c>
      <c r="R14" s="7">
        <f>$B14 * IFERROR(VLOOKUP("electricity|SO2|Minor restricted activity days", US_national_yearly!$D:$AM, 26, FALSE) / VLOOKUP("electricity|SO2|Minor restricted activity days", US_national_yearly!$D:$AM, 10, FALSE), 1)</f>
        <v>5.6967897973054402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5.7426797161816623</v>
      </c>
      <c r="T14" s="7">
        <f>$B14 * IFERROR(VLOOKUP("electricity|SO2|Minor restricted activity days", US_national_yearly!$D:$AM, 28, FALSE) / VLOOKUP("electricity|SO2|Minor restricted activity days", US_national_yearly!$D:$AM, 10, FALSE), 1)</f>
        <v>5.7885696350578844</v>
      </c>
      <c r="U14" s="7">
        <f>$B14 * IFERROR(VLOOKUP("electricity|SO2|Minor restricted activity days", US_national_yearly!$D:$AM, 29, FALSE) / VLOOKUP("electricity|SO2|Minor restricted activity days", US_national_yearly!$D:$AM, 10, FALSE), 1)</f>
        <v>5.8344595539341055</v>
      </c>
      <c r="V14" s="7">
        <f>$B14 * IFERROR(VLOOKUP("electricity|SO2|Minor restricted activity days", US_national_yearly!$D:$AM, 30, FALSE) / VLOOKUP("electricity|SO2|Minor restricted activity days", US_national_yearly!$D:$AM, 10, FALSE), 1)</f>
        <v>5.8803494728103276</v>
      </c>
      <c r="W14" s="7">
        <f>$B14 * IFERROR(VLOOKUP("electricity|SO2|Minor restricted activity days", US_national_yearly!$D:$AM, 31, FALSE) / VLOOKUP("electricity|SO2|Minor restricted activity days", US_national_yearly!$D:$AM, 10, FALSE), 1)</f>
        <v>5.9262393916865497</v>
      </c>
      <c r="X14" s="7">
        <f>$B14 * IFERROR(VLOOKUP("electricity|SO2|Minor restricted activity days", US_national_yearly!$D:$AM, 32, FALSE) / VLOOKUP("electricity|SO2|Minor restricted activity days", US_national_yearly!$D:$AM, 10, FALSE), 1)</f>
        <v>5.9666174908799565</v>
      </c>
      <c r="Y14" s="7">
        <f>$B14 * IFERROR(VLOOKUP("electricity|SO2|Minor restricted activity days", US_national_yearly!$D:$AM, 33, FALSE) / VLOOKUP("electricity|SO2|Minor restricted activity days", US_national_yearly!$D:$AM, 10, FALSE), 1)</f>
        <v>6.0069955900733616</v>
      </c>
      <c r="Z14" s="7">
        <f>$B14 * IFERROR(VLOOKUP("electricity|SO2|Minor restricted activity days", US_national_yearly!$D:$AM, 34, FALSE) / VLOOKUP("electricity|SO2|Minor restricted activity days", US_national_yearly!$D:$AM, 10, FALSE), 1)</f>
        <v>6.0473736892667675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6.0877517884601735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6.1281298876535795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0.88211908224941626</v>
      </c>
      <c r="C15" s="7">
        <f>$B15 * IFERROR(VLOOKUP("electricity|SO2|Work loss days", US_national_yearly!$D:$AM, 11, FALSE) / VLOOKUP("electricity|SO2|Work loss days", US_national_yearly!$D:$AM, 10, FALSE), 1)</f>
        <v>0.88497541051581907</v>
      </c>
      <c r="D15" s="7">
        <f>$B15 * IFERROR(VLOOKUP("electricity|SO2|Work loss days", US_national_yearly!$D:$AM, 12, FALSE) / VLOOKUP("electricity|SO2|Work loss days", US_national_yearly!$D:$AM, 10, FALSE), 1)</f>
        <v>0.88783173878222177</v>
      </c>
      <c r="E15" s="7">
        <f>$B15 * IFERROR(VLOOKUP("electricity|SO2|Work loss days", US_national_yearly!$D:$AM, 13, FALSE) / VLOOKUP("electricity|SO2|Work loss days", US_national_yearly!$D:$AM, 10, FALSE), 1)</f>
        <v>0.8906880670486248</v>
      </c>
      <c r="F15" s="7">
        <f>$B15 * IFERROR(VLOOKUP("electricity|SO2|Work loss days", US_national_yearly!$D:$AM, 14, FALSE) / VLOOKUP("electricity|SO2|Work loss days", US_national_yearly!$D:$AM, 10, FALSE), 1)</f>
        <v>0.89354439531502761</v>
      </c>
      <c r="G15" s="7">
        <f>$B15 * IFERROR(VLOOKUP("electricity|SO2|Work loss days", US_national_yearly!$D:$AM, 15, FALSE) / VLOOKUP("electricity|SO2|Work loss days", US_national_yearly!$D:$AM, 10, FALSE), 1)</f>
        <v>0.89720352881366705</v>
      </c>
      <c r="H15" s="7">
        <f>$B15 * IFERROR(VLOOKUP("electricity|SO2|Work loss days", US_national_yearly!$D:$AM, 16, FALSE) / VLOOKUP("electricity|SO2|Work loss days", US_national_yearly!$D:$AM, 10, FALSE), 1)</f>
        <v>0.90086266231230649</v>
      </c>
      <c r="I15" s="7">
        <f>$B15 * IFERROR(VLOOKUP("electricity|SO2|Work loss days", US_national_yearly!$D:$AM, 17, FALSE) / VLOOKUP("electricity|SO2|Work loss days", US_national_yearly!$D:$AM, 10, FALSE), 1)</f>
        <v>0.90621640504124579</v>
      </c>
      <c r="J15" s="7">
        <f>$B15 * IFERROR(VLOOKUP("electricity|SO2|Work loss days", US_national_yearly!$D:$AM, 18, FALSE) / VLOOKUP("electricity|SO2|Work loss days", US_national_yearly!$D:$AM, 10, FALSE), 1)</f>
        <v>0.91157014777018486</v>
      </c>
      <c r="K15" s="7">
        <f>$B15 * IFERROR(VLOOKUP("electricity|SO2|Work loss days", US_national_yearly!$D:$AM, 19, FALSE) / VLOOKUP("electricity|SO2|Work loss days", US_national_yearly!$D:$AM, 10, FALSE), 1)</f>
        <v>0.91692389049912426</v>
      </c>
      <c r="L15" s="7">
        <f>$B15 * IFERROR(VLOOKUP("electricity|SO2|Work loss days", US_national_yearly!$D:$AM, 20, FALSE) / VLOOKUP("electricity|SO2|Work loss days", US_national_yearly!$D:$AM, 10, FALSE), 1)</f>
        <v>0.92227763322806333</v>
      </c>
      <c r="M15" s="7">
        <f>$B15 * IFERROR(VLOOKUP("electricity|SO2|Work loss days", US_national_yearly!$D:$AM, 21, FALSE) / VLOOKUP("electricity|SO2|Work loss days", US_national_yearly!$D:$AM, 10, FALSE), 1)</f>
        <v>0.92763137595700285</v>
      </c>
      <c r="N15" s="7">
        <f>$B15 * IFERROR(VLOOKUP("electricity|SO2|Work loss days", US_national_yearly!$D:$AM, 22, FALSE) / VLOOKUP("electricity|SO2|Work loss days", US_national_yearly!$D:$AM, 10, FALSE), 1)</f>
        <v>0.93440519195409522</v>
      </c>
      <c r="O15" s="7">
        <f>$B15 * IFERROR(VLOOKUP("electricity|SO2|Work loss days", US_national_yearly!$D:$AM, 23, FALSE) / VLOOKUP("electricity|SO2|Work loss days", US_national_yearly!$D:$AM, 10, FALSE), 1)</f>
        <v>0.94117900795118781</v>
      </c>
      <c r="P15" s="7">
        <f>$B15 * IFERROR(VLOOKUP("electricity|SO2|Work loss days", US_national_yearly!$D:$AM, 24, FALSE) / VLOOKUP("electricity|SO2|Work loss days", US_national_yearly!$D:$AM, 10, FALSE), 1)</f>
        <v>0.9479528239482804</v>
      </c>
      <c r="Q15" s="7">
        <f>$B15 * IFERROR(VLOOKUP("electricity|SO2|Work loss days", US_national_yearly!$D:$AM, 25, FALSE) / VLOOKUP("electricity|SO2|Work loss days", US_national_yearly!$D:$AM, 10, FALSE), 1)</f>
        <v>0.95472663994537277</v>
      </c>
      <c r="R15" s="7">
        <f>$B15 * IFERROR(VLOOKUP("electricity|SO2|Work loss days", US_national_yearly!$D:$AM, 26, FALSE) / VLOOKUP("electricity|SO2|Work loss days", US_national_yearly!$D:$AM, 10, FALSE), 1)</f>
        <v>0.96150045594246536</v>
      </c>
      <c r="S15" s="7">
        <f>$B15 * IFERROR(VLOOKUP("electricity|SO2|Work loss days", US_national_yearly!$D:$AM, 27, FALSE) / VLOOKUP("electricity|SO2|Work loss days", US_national_yearly!$D:$AM, 10, FALSE), 1)</f>
        <v>0.96909453578782223</v>
      </c>
      <c r="T15" s="7">
        <f>$B15 * IFERROR(VLOOKUP("electricity|SO2|Work loss days", US_national_yearly!$D:$AM, 28, FALSE) / VLOOKUP("electricity|SO2|Work loss days", US_national_yearly!$D:$AM, 10, FALSE), 1)</f>
        <v>0.97668861563317932</v>
      </c>
      <c r="U15" s="7">
        <f>$B15 * IFERROR(VLOOKUP("electricity|SO2|Work loss days", US_national_yearly!$D:$AM, 29, FALSE) / VLOOKUP("electricity|SO2|Work loss days", US_national_yearly!$D:$AM, 10, FALSE), 1)</f>
        <v>0.98428269547853642</v>
      </c>
      <c r="V15" s="7">
        <f>$B15 * IFERROR(VLOOKUP("electricity|SO2|Work loss days", US_national_yearly!$D:$AM, 30, FALSE) / VLOOKUP("electricity|SO2|Work loss days", US_national_yearly!$D:$AM, 10, FALSE), 1)</f>
        <v>0.99187677532389351</v>
      </c>
      <c r="W15" s="7">
        <f>$B15 * IFERROR(VLOOKUP("electricity|SO2|Work loss days", US_national_yearly!$D:$AM, 31, FALSE) / VLOOKUP("electricity|SO2|Work loss days", US_national_yearly!$D:$AM, 10, FALSE), 1)</f>
        <v>0.9994708551692506</v>
      </c>
      <c r="X15" s="7">
        <f>$B15 * IFERROR(VLOOKUP("electricity|SO2|Work loss days", US_national_yearly!$D:$AM, 32, FALSE) / VLOOKUP("electricity|SO2|Work loss days", US_national_yearly!$D:$AM, 10, FALSE), 1)</f>
        <v>1.0063123700108154</v>
      </c>
      <c r="Y15" s="7">
        <f>$B15 * IFERROR(VLOOKUP("electricity|SO2|Work loss days", US_national_yearly!$D:$AM, 33, FALSE) / VLOOKUP("electricity|SO2|Work loss days", US_national_yearly!$D:$AM, 10, FALSE), 1)</f>
        <v>1.0131538848523802</v>
      </c>
      <c r="Z15" s="7">
        <f>$B15 * IFERROR(VLOOKUP("electricity|SO2|Work loss days", US_national_yearly!$D:$AM, 34, FALSE) / VLOOKUP("electricity|SO2|Work loss days", US_national_yearly!$D:$AM, 10, FALSE), 1)</f>
        <v>1.0199953996939448</v>
      </c>
      <c r="AA15" s="7">
        <f>$B15 * IFERROR(VLOOKUP("electricity|SO2|Work loss days", US_national_yearly!$D:$AM, 35, FALSE) / VLOOKUP("electricity|SO2|Work loss days", US_national_yearly!$D:$AM, 10, FALSE), 1)</f>
        <v>1.0268369145355096</v>
      </c>
      <c r="AB15" s="7">
        <f>$B15 * IFERROR(VLOOKUP("electricity|SO2|Work loss days", US_national_yearly!$D:$AM, 36, FALSE) / VLOOKUP("electricity|SO2|Work loss days", US_national_yearly!$D:$AM, 10, FALSE), 1)</f>
        <v>1.0336784293770747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1.7161823151586254E-3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1.7681874099892958E-3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1.820192504819966E-3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1.8721975996506366E-3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1.924202694481307E-3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1.974332292052839E-3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2.0244618896243715E-3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2.0678611144956164E-3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2.1112603393668612E-3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2.1546595642381065E-3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2.1980587891093509E-3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2.2414580139805962E-3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2.2710778692478367E-3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2.3006977245150768E-3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2.3303175797823182E-3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2.3599374350495588E-3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2.3895572903167993E-3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2.4057954375913213E-3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2.4220335848658429E-3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2.4382717321403654E-3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2.4545098794148869E-3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2.4707480266894085E-3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2.4819570219887762E-3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2.4931660172881429E-3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2.5043750125875101E-3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2.5155840078868773E-3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2.5267930031862445E-3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3.2733676010262933E-2</v>
      </c>
      <c r="C2" s="7">
        <f>$B2 * IFERROR(VLOOKUP("buildings|PM25|Premature mortality", US_national_yearly!$D:$AM, 11, FALSE) / VLOOKUP("buildings|PM25|Premature mortality", US_national_yearly!$D:$AM, 10, FALSE), 1)</f>
        <v>3.3139795802584089E-2</v>
      </c>
      <c r="D2" s="7">
        <f>$B2 * IFERROR(VLOOKUP("buildings|PM25|Premature mortality", US_national_yearly!$D:$AM, 12, FALSE) / VLOOKUP("buildings|PM25|Premature mortality", US_national_yearly!$D:$AM, 10, FALSE), 1)</f>
        <v>3.3545915594905246E-2</v>
      </c>
      <c r="E2" s="7">
        <f>$B2 * IFERROR(VLOOKUP("buildings|PM25|Premature mortality", US_national_yearly!$D:$AM, 13, FALSE) / VLOOKUP("buildings|PM25|Premature mortality", US_national_yearly!$D:$AM, 10, FALSE), 1)</f>
        <v>3.3952035387226402E-2</v>
      </c>
      <c r="F2" s="7">
        <f>$B2 * IFERROR(VLOOKUP("buildings|PM25|Premature mortality", US_national_yearly!$D:$AM, 14, FALSE) / VLOOKUP("buildings|PM25|Premature mortality", US_national_yearly!$D:$AM, 10, FALSE), 1)</f>
        <v>3.4358155179547552E-2</v>
      </c>
      <c r="G2" s="7">
        <f>$B2 * IFERROR(VLOOKUP("buildings|PM25|Premature mortality", US_national_yearly!$D:$AM, 15, FALSE) / VLOOKUP("buildings|PM25|Premature mortality", US_national_yearly!$D:$AM, 10, FALSE), 1)</f>
        <v>3.5148953698620006E-2</v>
      </c>
      <c r="H2" s="7">
        <f>$B2 * IFERROR(VLOOKUP("buildings|PM25|Premature mortality", US_national_yearly!$D:$AM, 16, FALSE) / VLOOKUP("buildings|PM25|Premature mortality", US_national_yearly!$D:$AM, 10, FALSE), 1)</f>
        <v>3.5939752217692453E-2</v>
      </c>
      <c r="I2" s="7">
        <f>$B2 * IFERROR(VLOOKUP("buildings|PM25|Premature mortality", US_national_yearly!$D:$AM, 17, FALSE) / VLOOKUP("buildings|PM25|Premature mortality", US_national_yearly!$D:$AM, 10, FALSE), 1)</f>
        <v>3.6459846782944602E-2</v>
      </c>
      <c r="J2" s="7">
        <f>$B2 * IFERROR(VLOOKUP("buildings|PM25|Premature mortality", US_national_yearly!$D:$AM, 18, FALSE) / VLOOKUP("buildings|PM25|Premature mortality", US_national_yearly!$D:$AM, 10, FALSE), 1)</f>
        <v>3.6979941348196758E-2</v>
      </c>
      <c r="K2" s="7">
        <f>$B2 * IFERROR(VLOOKUP("buildings|PM25|Premature mortality", US_national_yearly!$D:$AM, 19, FALSE) / VLOOKUP("buildings|PM25|Premature mortality", US_national_yearly!$D:$AM, 10, FALSE), 1)</f>
        <v>3.7500035913448908E-2</v>
      </c>
      <c r="L2" s="7">
        <f>$B2 * IFERROR(VLOOKUP("buildings|PM25|Premature mortality", US_national_yearly!$D:$AM, 20, FALSE) / VLOOKUP("buildings|PM25|Premature mortality", US_national_yearly!$D:$AM, 10, FALSE), 1)</f>
        <v>3.8020130478701064E-2</v>
      </c>
      <c r="M2" s="7">
        <f>$B2 * IFERROR(VLOOKUP("buildings|PM25|Premature mortality", US_national_yearly!$D:$AM, 21, FALSE) / VLOOKUP("buildings|PM25|Premature mortality", US_national_yearly!$D:$AM, 10, FALSE), 1)</f>
        <v>3.8540225043953213E-2</v>
      </c>
      <c r="N2" s="7">
        <f>$B2 * IFERROR(VLOOKUP("buildings|PM25|Premature mortality", US_national_yearly!$D:$AM, 22, FALSE) / VLOOKUP("buildings|PM25|Premature mortality", US_national_yearly!$D:$AM, 10, FALSE), 1)</f>
        <v>3.8944656372689249E-2</v>
      </c>
      <c r="O2" s="7">
        <f>$B2 * IFERROR(VLOOKUP("buildings|PM25|Premature mortality", US_national_yearly!$D:$AM, 23, FALSE) / VLOOKUP("buildings|PM25|Premature mortality", US_national_yearly!$D:$AM, 10, FALSE), 1)</f>
        <v>3.9349087701425298E-2</v>
      </c>
      <c r="P2" s="7">
        <f>$B2 * IFERROR(VLOOKUP("buildings|PM25|Premature mortality", US_national_yearly!$D:$AM, 24, FALSE) / VLOOKUP("buildings|PM25|Premature mortality", US_national_yearly!$D:$AM, 10, FALSE), 1)</f>
        <v>3.9753519030161333E-2</v>
      </c>
      <c r="Q2" s="7">
        <f>$B2 * IFERROR(VLOOKUP("buildings|PM25|Premature mortality", US_national_yearly!$D:$AM, 25, FALSE) / VLOOKUP("buildings|PM25|Premature mortality", US_national_yearly!$D:$AM, 10, FALSE), 1)</f>
        <v>4.0157950358897382E-2</v>
      </c>
      <c r="R2" s="7">
        <f>$B2 * IFERROR(VLOOKUP("buildings|PM25|Premature mortality", US_national_yearly!$D:$AM, 26, FALSE) / VLOOKUP("buildings|PM25|Premature mortality", US_national_yearly!$D:$AM, 10, FALSE), 1)</f>
        <v>4.0562381687633417E-2</v>
      </c>
      <c r="S2" s="7">
        <f>$B2 * IFERROR(VLOOKUP("buildings|PM25|Premature mortality", US_national_yearly!$D:$AM, 27, FALSE) / VLOOKUP("buildings|PM25|Premature mortality", US_national_yearly!$D:$AM, 10, FALSE), 1)</f>
        <v>4.0777340956023575E-2</v>
      </c>
      <c r="T2" s="7">
        <f>$B2 * IFERROR(VLOOKUP("buildings|PM25|Premature mortality", US_national_yearly!$D:$AM, 28, FALSE) / VLOOKUP("buildings|PM25|Premature mortality", US_national_yearly!$D:$AM, 10, FALSE), 1)</f>
        <v>4.0992300224413733E-2</v>
      </c>
      <c r="U2" s="7">
        <f>$B2 * IFERROR(VLOOKUP("buildings|PM25|Premature mortality", US_national_yearly!$D:$AM, 29, FALSE) / VLOOKUP("buildings|PM25|Premature mortality", US_national_yearly!$D:$AM, 10, FALSE), 1)</f>
        <v>4.1207259492803898E-2</v>
      </c>
      <c r="V2" s="7">
        <f>$B2 * IFERROR(VLOOKUP("buildings|PM25|Premature mortality", US_national_yearly!$D:$AM, 30, FALSE) / VLOOKUP("buildings|PM25|Premature mortality", US_national_yearly!$D:$AM, 10, FALSE), 1)</f>
        <v>4.1422218761194056E-2</v>
      </c>
      <c r="W2" s="7">
        <f>$B2 * IFERROR(VLOOKUP("buildings|PM25|Premature mortality", US_national_yearly!$D:$AM, 31, FALSE) / VLOOKUP("buildings|PM25|Premature mortality", US_national_yearly!$D:$AM, 10, FALSE), 1)</f>
        <v>4.1637178029584214E-2</v>
      </c>
      <c r="X2" s="7">
        <f>$B2 * IFERROR(VLOOKUP("buildings|PM25|Premature mortality", US_national_yearly!$D:$AM, 32, FALSE) / VLOOKUP("buildings|PM25|Premature mortality", US_national_yearly!$D:$AM, 10, FALSE), 1)</f>
        <v>4.1675761492531709E-2</v>
      </c>
      <c r="Y2" s="7">
        <f>$B2 * IFERROR(VLOOKUP("buildings|PM25|Premature mortality", US_national_yearly!$D:$AM, 33, FALSE) / VLOOKUP("buildings|PM25|Premature mortality", US_national_yearly!$D:$AM, 10, FALSE), 1)</f>
        <v>4.1714344955479196E-2</v>
      </c>
      <c r="Z2" s="7">
        <f>$B2 * IFERROR(VLOOKUP("buildings|PM25|Premature mortality", US_national_yearly!$D:$AM, 34, FALSE) / VLOOKUP("buildings|PM25|Premature mortality", US_national_yearly!$D:$AM, 10, FALSE), 1)</f>
        <v>4.1752928418426691E-2</v>
      </c>
      <c r="AA2" s="7">
        <f>$B2 * IFERROR(VLOOKUP("buildings|PM25|Premature mortality", US_national_yearly!$D:$AM, 35, FALSE) / VLOOKUP("buildings|PM25|Premature mortality", US_national_yearly!$D:$AM, 10, FALSE), 1)</f>
        <v>4.1791511881374185E-2</v>
      </c>
      <c r="AB2" s="7">
        <f>$B2 * IFERROR(VLOOKUP("buildings|PM25|Premature mortality", US_national_yearly!$D:$AM, 36, FALSE) / VLOOKUP("buildings|PM25|Premature mortality", US_national_yearly!$D:$AM, 10, FALSE), 1)</f>
        <v>4.1830095344321666E-2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5.2050729196484924E-5</v>
      </c>
      <c r="C3" s="7">
        <f>$B3 * IFERROR(VLOOKUP("buildings|PM25|Infant mortality", US_national_yearly!$D:$AM, 11, FALSE) / VLOOKUP("buildings|PM25|Infant mortality", US_national_yearly!$D:$AM, 10, FALSE), 1)</f>
        <v>5.1599885681689032E-5</v>
      </c>
      <c r="D3" s="7">
        <f>$B3 * IFERROR(VLOOKUP("buildings|PM25|Infant mortality", US_national_yearly!$D:$AM, 12, FALSE) / VLOOKUP("buildings|PM25|Infant mortality", US_national_yearly!$D:$AM, 10, FALSE), 1)</f>
        <v>5.1149042166893134E-5</v>
      </c>
      <c r="E3" s="7">
        <f>$B3 * IFERROR(VLOOKUP("buildings|PM25|Infant mortality", US_national_yearly!$D:$AM, 13, FALSE) / VLOOKUP("buildings|PM25|Infant mortality", US_national_yearly!$D:$AM, 10, FALSE), 1)</f>
        <v>5.0698198652097242E-5</v>
      </c>
      <c r="F3" s="7">
        <f>$B3 * IFERROR(VLOOKUP("buildings|PM25|Infant mortality", US_national_yearly!$D:$AM, 14, FALSE) / VLOOKUP("buildings|PM25|Infant mortality", US_national_yearly!$D:$AM, 10, FALSE), 1)</f>
        <v>5.024735513730135E-5</v>
      </c>
      <c r="G3" s="7">
        <f>$B3 * IFERROR(VLOOKUP("buildings|PM25|Infant mortality", US_national_yearly!$D:$AM, 15, FALSE) / VLOOKUP("buildings|PM25|Infant mortality", US_national_yearly!$D:$AM, 10, FALSE), 1)</f>
        <v>3.3412668233703924E-5</v>
      </c>
      <c r="H3" s="7">
        <f>$B3 * IFERROR(VLOOKUP("buildings|PM25|Infant mortality", US_national_yearly!$D:$AM, 16, FALSE) / VLOOKUP("buildings|PM25|Infant mortality", US_national_yearly!$D:$AM, 10, FALSE), 1)</f>
        <v>1.6577981330106498E-5</v>
      </c>
      <c r="I3" s="7">
        <f>$B3 * IFERROR(VLOOKUP("buildings|PM25|Infant mortality", US_national_yearly!$D:$AM, 17, FALSE) / VLOOKUP("buildings|PM25|Infant mortality", US_national_yearly!$D:$AM, 10, FALSE), 1)</f>
        <v>1.6469952479219093E-5</v>
      </c>
      <c r="J3" s="7">
        <f>$B3 * IFERROR(VLOOKUP("buildings|PM25|Infant mortality", US_national_yearly!$D:$AM, 18, FALSE) / VLOOKUP("buildings|PM25|Infant mortality", US_national_yearly!$D:$AM, 10, FALSE), 1)</f>
        <v>1.6361923628331686E-5</v>
      </c>
      <c r="K3" s="7">
        <f>$B3 * IFERROR(VLOOKUP("buildings|PM25|Infant mortality", US_national_yearly!$D:$AM, 19, FALSE) / VLOOKUP("buildings|PM25|Infant mortality", US_national_yearly!$D:$AM, 10, FALSE), 1)</f>
        <v>1.6253894777444278E-5</v>
      </c>
      <c r="L3" s="7">
        <f>$B3 * IFERROR(VLOOKUP("buildings|PM25|Infant mortality", US_national_yearly!$D:$AM, 20, FALSE) / VLOOKUP("buildings|PM25|Infant mortality", US_national_yearly!$D:$AM, 10, FALSE), 1)</f>
        <v>1.6145865926556874E-5</v>
      </c>
      <c r="M3" s="7">
        <f>$B3 * IFERROR(VLOOKUP("buildings|PM25|Infant mortality", US_national_yearly!$D:$AM, 21, FALSE) / VLOOKUP("buildings|PM25|Infant mortality", US_national_yearly!$D:$AM, 10, FALSE), 1)</f>
        <v>1.6037837075669467E-5</v>
      </c>
      <c r="N3" s="7">
        <f>$B3 * IFERROR(VLOOKUP("buildings|PM25|Infant mortality", US_national_yearly!$D:$AM, 22, FALSE) / VLOOKUP("buildings|PM25|Infant mortality", US_national_yearly!$D:$AM, 10, FALSE), 1)</f>
        <v>1.5970243887288868E-5</v>
      </c>
      <c r="O3" s="7">
        <f>$B3 * IFERROR(VLOOKUP("buildings|PM25|Infant mortality", US_national_yearly!$D:$AM, 23, FALSE) / VLOOKUP("buildings|PM25|Infant mortality", US_national_yearly!$D:$AM, 10, FALSE), 1)</f>
        <v>1.5902650698908273E-5</v>
      </c>
      <c r="P3" s="7">
        <f>$B3 * IFERROR(VLOOKUP("buildings|PM25|Infant mortality", US_national_yearly!$D:$AM, 24, FALSE) / VLOOKUP("buildings|PM25|Infant mortality", US_national_yearly!$D:$AM, 10, FALSE), 1)</f>
        <v>1.5835057510527675E-5</v>
      </c>
      <c r="Q3" s="7">
        <f>$B3 * IFERROR(VLOOKUP("buildings|PM25|Infant mortality", US_national_yearly!$D:$AM, 25, FALSE) / VLOOKUP("buildings|PM25|Infant mortality", US_national_yearly!$D:$AM, 10, FALSE), 1)</f>
        <v>1.5767464322147076E-5</v>
      </c>
      <c r="R3" s="7">
        <f>$B3 * IFERROR(VLOOKUP("buildings|PM25|Infant mortality", US_national_yearly!$D:$AM, 26, FALSE) / VLOOKUP("buildings|PM25|Infant mortality", US_national_yearly!$D:$AM, 10, FALSE), 1)</f>
        <v>1.5699871133766481E-5</v>
      </c>
      <c r="S3" s="7">
        <f>$B3 * IFERROR(VLOOKUP("buildings|PM25|Infant mortality", US_national_yearly!$D:$AM, 27, FALSE) / VLOOKUP("buildings|PM25|Infant mortality", US_national_yearly!$D:$AM, 10, FALSE), 1)</f>
        <v>1.5615476390191156E-5</v>
      </c>
      <c r="T3" s="7">
        <f>$B3 * IFERROR(VLOOKUP("buildings|PM25|Infant mortality", US_national_yearly!$D:$AM, 28, FALSE) / VLOOKUP("buildings|PM25|Infant mortality", US_national_yearly!$D:$AM, 10, FALSE), 1)</f>
        <v>1.5531081646615837E-5</v>
      </c>
      <c r="U3" s="7">
        <f>$B3 * IFERROR(VLOOKUP("buildings|PM25|Infant mortality", US_national_yearly!$D:$AM, 29, FALSE) / VLOOKUP("buildings|PM25|Infant mortality", US_national_yearly!$D:$AM, 10, FALSE), 1)</f>
        <v>1.5446686903040508E-5</v>
      </c>
      <c r="V3" s="7">
        <f>$B3 * IFERROR(VLOOKUP("buildings|PM25|Infant mortality", US_national_yearly!$D:$AM, 30, FALSE) / VLOOKUP("buildings|PM25|Infant mortality", US_national_yearly!$D:$AM, 10, FALSE), 1)</f>
        <v>1.5362292159465186E-5</v>
      </c>
      <c r="W3" s="7">
        <f>$B3 * IFERROR(VLOOKUP("buildings|PM25|Infant mortality", US_national_yearly!$D:$AM, 31, FALSE) / VLOOKUP("buildings|PM25|Infant mortality", US_national_yearly!$D:$AM, 10, FALSE), 1)</f>
        <v>1.5277897415889864E-5</v>
      </c>
      <c r="X3" s="7">
        <f>$B3 * IFERROR(VLOOKUP("buildings|PM25|Infant mortality", US_national_yearly!$D:$AM, 32, FALSE) / VLOOKUP("buildings|PM25|Infant mortality", US_national_yearly!$D:$AM, 10, FALSE), 1)</f>
        <v>1.5187035608284298E-5</v>
      </c>
      <c r="Y3" s="7">
        <f>$B3 * IFERROR(VLOOKUP("buildings|PM25|Infant mortality", US_national_yearly!$D:$AM, 33, FALSE) / VLOOKUP("buildings|PM25|Infant mortality", US_national_yearly!$D:$AM, 10, FALSE), 1)</f>
        <v>1.5096173800678736E-5</v>
      </c>
      <c r="Z3" s="7">
        <f>$B3 * IFERROR(VLOOKUP("buildings|PM25|Infant mortality", US_national_yearly!$D:$AM, 34, FALSE) / VLOOKUP("buildings|PM25|Infant mortality", US_national_yearly!$D:$AM, 10, FALSE), 1)</f>
        <v>1.5005311993073171E-5</v>
      </c>
      <c r="AA3" s="7">
        <f>$B3 * IFERROR(VLOOKUP("buildings|PM25|Infant mortality", US_national_yearly!$D:$AM, 35, FALSE) / VLOOKUP("buildings|PM25|Infant mortality", US_national_yearly!$D:$AM, 10, FALSE), 1)</f>
        <v>1.4914450185467606E-5</v>
      </c>
      <c r="AB3" s="7">
        <f>$B3 * IFERROR(VLOOKUP("buildings|PM25|Infant mortality", US_national_yearly!$D:$AM, 36, FALSE) / VLOOKUP("buildings|PM25|Infant mortality", US_national_yearly!$D:$AM, 10, FALSE), 1)</f>
        <v>1.4823588377862044E-5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7.5836444408342848E-2</v>
      </c>
      <c r="C6" s="7">
        <f>$B6 * IFERROR(VLOOKUP("buildings|PM25|Asthma symptoms cough", US_national_yearly!$D:$AM, 11, FALSE) / VLOOKUP("buildings|PM25|Asthma symptoms cough", US_national_yearly!$D:$AM, 10, FALSE), 1)</f>
        <v>7.5836444408342848E-2</v>
      </c>
      <c r="D6" s="7">
        <f>$B6 * IFERROR(VLOOKUP("buildings|PM25|Asthma symptoms cough", US_national_yearly!$D:$AM, 12, FALSE) / VLOOKUP("buildings|PM25|Asthma symptoms cough", US_national_yearly!$D:$AM, 10, FALSE), 1)</f>
        <v>7.5836444408342848E-2</v>
      </c>
      <c r="E6" s="7">
        <f>$B6 * IFERROR(VLOOKUP("buildings|PM25|Asthma symptoms cough", US_national_yearly!$D:$AM, 13, FALSE) / VLOOKUP("buildings|PM25|Asthma symptoms cough", US_national_yearly!$D:$AM, 10, FALSE), 1)</f>
        <v>7.5836444408342848E-2</v>
      </c>
      <c r="F6" s="7">
        <f>$B6 * IFERROR(VLOOKUP("buildings|PM25|Asthma symptoms cough", US_national_yearly!$D:$AM, 14, FALSE) / VLOOKUP("buildings|PM25|Asthma symptoms cough", US_national_yearly!$D:$AM, 10, FALSE), 1)</f>
        <v>7.5836444408342848E-2</v>
      </c>
      <c r="G6" s="7">
        <f>$B6 * IFERROR(VLOOKUP("buildings|PM25|Asthma symptoms cough", US_national_yearly!$D:$AM, 15, FALSE) / VLOOKUP("buildings|PM25|Asthma symptoms cough", US_national_yearly!$D:$AM, 10, FALSE), 1)</f>
        <v>7.5836444408342848E-2</v>
      </c>
      <c r="H6" s="7">
        <f>$B6 * IFERROR(VLOOKUP("buildings|PM25|Asthma symptoms cough", US_national_yearly!$D:$AM, 16, FALSE) / VLOOKUP("buildings|PM25|Asthma symptoms cough", US_national_yearly!$D:$AM, 10, FALSE), 1)</f>
        <v>7.5836444408342848E-2</v>
      </c>
      <c r="I6" s="7">
        <f>$B6 * IFERROR(VLOOKUP("buildings|PM25|Asthma symptoms cough", US_national_yearly!$D:$AM, 17, FALSE) / VLOOKUP("buildings|PM25|Asthma symptoms cough", US_national_yearly!$D:$AM, 10, FALSE), 1)</f>
        <v>7.5836444408342848E-2</v>
      </c>
      <c r="J6" s="7">
        <f>$B6 * IFERROR(VLOOKUP("buildings|PM25|Asthma symptoms cough", US_national_yearly!$D:$AM, 18, FALSE) / VLOOKUP("buildings|PM25|Asthma symptoms cough", US_national_yearly!$D:$AM, 10, FALSE), 1)</f>
        <v>7.5836444408342848E-2</v>
      </c>
      <c r="K6" s="7">
        <f>$B6 * IFERROR(VLOOKUP("buildings|PM25|Asthma symptoms cough", US_national_yearly!$D:$AM, 19, FALSE) / VLOOKUP("buildings|PM25|Asthma symptoms cough", US_national_yearly!$D:$AM, 10, FALSE), 1)</f>
        <v>7.5836444408342848E-2</v>
      </c>
      <c r="L6" s="7">
        <f>$B6 * IFERROR(VLOOKUP("buildings|PM25|Asthma symptoms cough", US_national_yearly!$D:$AM, 20, FALSE) / VLOOKUP("buildings|PM25|Asthma symptoms cough", US_national_yearly!$D:$AM, 10, FALSE), 1)</f>
        <v>7.5836444408342848E-2</v>
      </c>
      <c r="M6" s="7">
        <f>$B6 * IFERROR(VLOOKUP("buildings|PM25|Asthma symptoms cough", US_national_yearly!$D:$AM, 21, FALSE) / VLOOKUP("buildings|PM25|Asthma symptoms cough", US_national_yearly!$D:$AM, 10, FALSE), 1)</f>
        <v>7.5836444408342848E-2</v>
      </c>
      <c r="N6" s="7">
        <f>$B6 * IFERROR(VLOOKUP("buildings|PM25|Asthma symptoms cough", US_national_yearly!$D:$AM, 22, FALSE) / VLOOKUP("buildings|PM25|Asthma symptoms cough", US_national_yearly!$D:$AM, 10, FALSE), 1)</f>
        <v>7.5836444408342848E-2</v>
      </c>
      <c r="O6" s="7">
        <f>$B6 * IFERROR(VLOOKUP("buildings|PM25|Asthma symptoms cough", US_national_yearly!$D:$AM, 23, FALSE) / VLOOKUP("buildings|PM25|Asthma symptoms cough", US_national_yearly!$D:$AM, 10, FALSE), 1)</f>
        <v>7.5836444408342848E-2</v>
      </c>
      <c r="P6" s="7">
        <f>$B6 * IFERROR(VLOOKUP("buildings|PM25|Asthma symptoms cough", US_national_yearly!$D:$AM, 24, FALSE) / VLOOKUP("buildings|PM25|Asthma symptoms cough", US_national_yearly!$D:$AM, 10, FALSE), 1)</f>
        <v>7.5836444408342848E-2</v>
      </c>
      <c r="Q6" s="7">
        <f>$B6 * IFERROR(VLOOKUP("buildings|PM25|Asthma symptoms cough", US_national_yearly!$D:$AM, 25, FALSE) / VLOOKUP("buildings|PM25|Asthma symptoms cough", US_national_yearly!$D:$AM, 10, FALSE), 1)</f>
        <v>7.5836444408342848E-2</v>
      </c>
      <c r="R6" s="7">
        <f>$B6 * IFERROR(VLOOKUP("buildings|PM25|Asthma symptoms cough", US_national_yearly!$D:$AM, 26, FALSE) / VLOOKUP("buildings|PM25|Asthma symptoms cough", US_national_yearly!$D:$AM, 10, FALSE), 1)</f>
        <v>7.5836444408342848E-2</v>
      </c>
      <c r="S6" s="7">
        <f>$B6 * IFERROR(VLOOKUP("buildings|PM25|Asthma symptoms cough", US_national_yearly!$D:$AM, 27, FALSE) / VLOOKUP("buildings|PM25|Asthma symptoms cough", US_national_yearly!$D:$AM, 10, FALSE), 1)</f>
        <v>7.5836444408342848E-2</v>
      </c>
      <c r="T6" s="7">
        <f>$B6 * IFERROR(VLOOKUP("buildings|PM25|Asthma symptoms cough", US_national_yearly!$D:$AM, 28, FALSE) / VLOOKUP("buildings|PM25|Asthma symptoms cough", US_national_yearly!$D:$AM, 10, FALSE), 1)</f>
        <v>7.5836444408342848E-2</v>
      </c>
      <c r="U6" s="7">
        <f>$B6 * IFERROR(VLOOKUP("buildings|PM25|Asthma symptoms cough", US_national_yearly!$D:$AM, 29, FALSE) / VLOOKUP("buildings|PM25|Asthma symptoms cough", US_national_yearly!$D:$AM, 10, FALSE), 1)</f>
        <v>7.5836444408342848E-2</v>
      </c>
      <c r="V6" s="7">
        <f>$B6 * IFERROR(VLOOKUP("buildings|PM25|Asthma symptoms cough", US_national_yearly!$D:$AM, 30, FALSE) / VLOOKUP("buildings|PM25|Asthma symptoms cough", US_national_yearly!$D:$AM, 10, FALSE), 1)</f>
        <v>7.5836444408342848E-2</v>
      </c>
      <c r="W6" s="7">
        <f>$B6 * IFERROR(VLOOKUP("buildings|PM25|Asthma symptoms cough", US_national_yearly!$D:$AM, 31, FALSE) / VLOOKUP("buildings|PM25|Asthma symptoms cough", US_national_yearly!$D:$AM, 10, FALSE), 1)</f>
        <v>7.5836444408342848E-2</v>
      </c>
      <c r="X6" s="7">
        <f>$B6 * IFERROR(VLOOKUP("buildings|PM25|Asthma symptoms cough", US_national_yearly!$D:$AM, 32, FALSE) / VLOOKUP("buildings|PM25|Asthma symptoms cough", US_national_yearly!$D:$AM, 10, FALSE), 1)</f>
        <v>7.5836444408342848E-2</v>
      </c>
      <c r="Y6" s="7">
        <f>$B6 * IFERROR(VLOOKUP("buildings|PM25|Asthma symptoms cough", US_national_yearly!$D:$AM, 33, FALSE) / VLOOKUP("buildings|PM25|Asthma symptoms cough", US_national_yearly!$D:$AM, 10, FALSE), 1)</f>
        <v>7.5836444408342848E-2</v>
      </c>
      <c r="Z6" s="7">
        <f>$B6 * IFERROR(VLOOKUP("buildings|PM25|Asthma symptoms cough", US_national_yearly!$D:$AM, 34, FALSE) / VLOOKUP("buildings|PM25|Asthma symptoms cough", US_national_yearly!$D:$AM, 10, FALSE), 1)</f>
        <v>7.5836444408342848E-2</v>
      </c>
      <c r="AA6" s="7">
        <f>$B6 * IFERROR(VLOOKUP("buildings|PM25|Asthma symptoms cough", US_national_yearly!$D:$AM, 35, FALSE) / VLOOKUP("buildings|PM25|Asthma symptoms cough", US_national_yearly!$D:$AM, 10, FALSE), 1)</f>
        <v>7.5836444408342848E-2</v>
      </c>
      <c r="AB6" s="7">
        <f>$B6 * IFERROR(VLOOKUP("buildings|PM25|Asthma symptoms cough", US_national_yearly!$D:$AM, 36, FALSE) / VLOOKUP("buildings|PM25|Asthma symptoms cough", US_national_yearly!$D:$AM, 10, FALSE), 1)</f>
        <v>7.5836444408342848E-2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0.10212111603986596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0.10212111603986596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0.10212111603986596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0.10212111603986596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0.10212111603986596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0.10212111603986596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0.10212111603986596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0.10212111603986596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0.10212111603986596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0.10212111603986596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0.10212111603986596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0.10212111603986596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0.10212111603986596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0.10212111603986596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0.10212111603986596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0.10212111603986596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0.10212111603986596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0.10212111603986596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0.10212111603986596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0.10212111603986596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0.10212111603986596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0.10212111603986596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0.10212111603986596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0.10212111603986596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0.10212111603986596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0.10212111603986596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0.10212111603986596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0.15603680810417977</v>
      </c>
      <c r="C8" s="7">
        <f>$B8 * IFERROR(VLOOKUP("buildings|PM25|Asthma symptoms wheeze", US_national_yearly!$D:$AM, 11, FALSE) / VLOOKUP("buildings|PM25|Asthma symptoms wheeze", US_national_yearly!$D:$AM, 10, FALSE), 1)</f>
        <v>0.15603680810417977</v>
      </c>
      <c r="D8" s="7">
        <f>$B8 * IFERROR(VLOOKUP("buildings|PM25|Asthma symptoms wheeze", US_national_yearly!$D:$AM, 12, FALSE) / VLOOKUP("buildings|PM25|Asthma symptoms wheeze", US_national_yearly!$D:$AM, 10, FALSE), 1)</f>
        <v>0.15603680810417977</v>
      </c>
      <c r="E8" s="7">
        <f>$B8 * IFERROR(VLOOKUP("buildings|PM25|Asthma symptoms wheeze", US_national_yearly!$D:$AM, 13, FALSE) / VLOOKUP("buildings|PM25|Asthma symptoms wheeze", US_national_yearly!$D:$AM, 10, FALSE), 1)</f>
        <v>0.15603680810417977</v>
      </c>
      <c r="F8" s="7">
        <f>$B8 * IFERROR(VLOOKUP("buildings|PM25|Asthma symptoms wheeze", US_national_yearly!$D:$AM, 14, FALSE) / VLOOKUP("buildings|PM25|Asthma symptoms wheeze", US_national_yearly!$D:$AM, 10, FALSE), 1)</f>
        <v>0.15603680810417977</v>
      </c>
      <c r="G8" s="7">
        <f>$B8 * IFERROR(VLOOKUP("buildings|PM25|Asthma symptoms wheeze", US_national_yearly!$D:$AM, 15, FALSE) / VLOOKUP("buildings|PM25|Asthma symptoms wheeze", US_national_yearly!$D:$AM, 10, FALSE), 1)</f>
        <v>0.15603680810417977</v>
      </c>
      <c r="H8" s="7">
        <f>$B8 * IFERROR(VLOOKUP("buildings|PM25|Asthma symptoms wheeze", US_national_yearly!$D:$AM, 16, FALSE) / VLOOKUP("buildings|PM25|Asthma symptoms wheeze", US_national_yearly!$D:$AM, 10, FALSE), 1)</f>
        <v>0.15603680810417977</v>
      </c>
      <c r="I8" s="7">
        <f>$B8 * IFERROR(VLOOKUP("buildings|PM25|Asthma symptoms wheeze", US_national_yearly!$D:$AM, 17, FALSE) / VLOOKUP("buildings|PM25|Asthma symptoms wheeze", US_national_yearly!$D:$AM, 10, FALSE), 1)</f>
        <v>0.15603680810417977</v>
      </c>
      <c r="J8" s="7">
        <f>$B8 * IFERROR(VLOOKUP("buildings|PM25|Asthma symptoms wheeze", US_national_yearly!$D:$AM, 18, FALSE) / VLOOKUP("buildings|PM25|Asthma symptoms wheeze", US_national_yearly!$D:$AM, 10, FALSE), 1)</f>
        <v>0.15603680810417977</v>
      </c>
      <c r="K8" s="7">
        <f>$B8 * IFERROR(VLOOKUP("buildings|PM25|Asthma symptoms wheeze", US_national_yearly!$D:$AM, 19, FALSE) / VLOOKUP("buildings|PM25|Asthma symptoms wheeze", US_national_yearly!$D:$AM, 10, FALSE), 1)</f>
        <v>0.15603680810417977</v>
      </c>
      <c r="L8" s="7">
        <f>$B8 * IFERROR(VLOOKUP("buildings|PM25|Asthma symptoms wheeze", US_national_yearly!$D:$AM, 20, FALSE) / VLOOKUP("buildings|PM25|Asthma symptoms wheeze", US_national_yearly!$D:$AM, 10, FALSE), 1)</f>
        <v>0.15603680810417977</v>
      </c>
      <c r="M8" s="7">
        <f>$B8 * IFERROR(VLOOKUP("buildings|PM25|Asthma symptoms wheeze", US_national_yearly!$D:$AM, 21, FALSE) / VLOOKUP("buildings|PM25|Asthma symptoms wheeze", US_national_yearly!$D:$AM, 10, FALSE), 1)</f>
        <v>0.15603680810417977</v>
      </c>
      <c r="N8" s="7">
        <f>$B8 * IFERROR(VLOOKUP("buildings|PM25|Asthma symptoms wheeze", US_national_yearly!$D:$AM, 22, FALSE) / VLOOKUP("buildings|PM25|Asthma symptoms wheeze", US_national_yearly!$D:$AM, 10, FALSE), 1)</f>
        <v>0.15603680810417977</v>
      </c>
      <c r="O8" s="7">
        <f>$B8 * IFERROR(VLOOKUP("buildings|PM25|Asthma symptoms wheeze", US_national_yearly!$D:$AM, 23, FALSE) / VLOOKUP("buildings|PM25|Asthma symptoms wheeze", US_national_yearly!$D:$AM, 10, FALSE), 1)</f>
        <v>0.15603680810417977</v>
      </c>
      <c r="P8" s="7">
        <f>$B8 * IFERROR(VLOOKUP("buildings|PM25|Asthma symptoms wheeze", US_national_yearly!$D:$AM, 24, FALSE) / VLOOKUP("buildings|PM25|Asthma symptoms wheeze", US_national_yearly!$D:$AM, 10, FALSE), 1)</f>
        <v>0.15603680810417977</v>
      </c>
      <c r="Q8" s="7">
        <f>$B8 * IFERROR(VLOOKUP("buildings|PM25|Asthma symptoms wheeze", US_national_yearly!$D:$AM, 25, FALSE) / VLOOKUP("buildings|PM25|Asthma symptoms wheeze", US_national_yearly!$D:$AM, 10, FALSE), 1)</f>
        <v>0.15603680810417977</v>
      </c>
      <c r="R8" s="7">
        <f>$B8 * IFERROR(VLOOKUP("buildings|PM25|Asthma symptoms wheeze", US_national_yearly!$D:$AM, 26, FALSE) / VLOOKUP("buildings|PM25|Asthma symptoms wheeze", US_national_yearly!$D:$AM, 10, FALSE), 1)</f>
        <v>0.15603680810417977</v>
      </c>
      <c r="S8" s="7">
        <f>$B8 * IFERROR(VLOOKUP("buildings|PM25|Asthma symptoms wheeze", US_national_yearly!$D:$AM, 27, FALSE) / VLOOKUP("buildings|PM25|Asthma symptoms wheeze", US_national_yearly!$D:$AM, 10, FALSE), 1)</f>
        <v>0.15603680810417977</v>
      </c>
      <c r="T8" s="7">
        <f>$B8 * IFERROR(VLOOKUP("buildings|PM25|Asthma symptoms wheeze", US_national_yearly!$D:$AM, 28, FALSE) / VLOOKUP("buildings|PM25|Asthma symptoms wheeze", US_national_yearly!$D:$AM, 10, FALSE), 1)</f>
        <v>0.15603680810417977</v>
      </c>
      <c r="U8" s="7">
        <f>$B8 * IFERROR(VLOOKUP("buildings|PM25|Asthma symptoms wheeze", US_national_yearly!$D:$AM, 29, FALSE) / VLOOKUP("buildings|PM25|Asthma symptoms wheeze", US_national_yearly!$D:$AM, 10, FALSE), 1)</f>
        <v>0.15603680810417977</v>
      </c>
      <c r="V8" s="7">
        <f>$B8 * IFERROR(VLOOKUP("buildings|PM25|Asthma symptoms wheeze", US_national_yearly!$D:$AM, 30, FALSE) / VLOOKUP("buildings|PM25|Asthma symptoms wheeze", US_national_yearly!$D:$AM, 10, FALSE), 1)</f>
        <v>0.15603680810417977</v>
      </c>
      <c r="W8" s="7">
        <f>$B8 * IFERROR(VLOOKUP("buildings|PM25|Asthma symptoms wheeze", US_national_yearly!$D:$AM, 31, FALSE) / VLOOKUP("buildings|PM25|Asthma symptoms wheeze", US_national_yearly!$D:$AM, 10, FALSE), 1)</f>
        <v>0.15603680810417977</v>
      </c>
      <c r="X8" s="7">
        <f>$B8 * IFERROR(VLOOKUP("buildings|PM25|Asthma symptoms wheeze", US_national_yearly!$D:$AM, 32, FALSE) / VLOOKUP("buildings|PM25|Asthma symptoms wheeze", US_national_yearly!$D:$AM, 10, FALSE), 1)</f>
        <v>0.15603680810417977</v>
      </c>
      <c r="Y8" s="7">
        <f>$B8 * IFERROR(VLOOKUP("buildings|PM25|Asthma symptoms wheeze", US_national_yearly!$D:$AM, 33, FALSE) / VLOOKUP("buildings|PM25|Asthma symptoms wheeze", US_national_yearly!$D:$AM, 10, FALSE), 1)</f>
        <v>0.15603680810417977</v>
      </c>
      <c r="Z8" s="7">
        <f>$B8 * IFERROR(VLOOKUP("buildings|PM25|Asthma symptoms wheeze", US_national_yearly!$D:$AM, 34, FALSE) / VLOOKUP("buildings|PM25|Asthma symptoms wheeze", US_national_yearly!$D:$AM, 10, FALSE), 1)</f>
        <v>0.15603680810417977</v>
      </c>
      <c r="AA8" s="7">
        <f>$B8 * IFERROR(VLOOKUP("buildings|PM25|Asthma symptoms wheeze", US_national_yearly!$D:$AM, 35, FALSE) / VLOOKUP("buildings|PM25|Asthma symptoms wheeze", US_national_yearly!$D:$AM, 10, FALSE), 1)</f>
        <v>0.15603680810417977</v>
      </c>
      <c r="AB8" s="7">
        <f>$B8 * IFERROR(VLOOKUP("buildings|PM25|Asthma symptoms wheeze", US_national_yearly!$D:$AM, 36, FALSE) / VLOOKUP("buildings|PM25|Asthma symptoms wheeze", US_national_yearly!$D:$AM, 10, FALSE), 1)</f>
        <v>0.15603680810417977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2.602445165629737E-3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2.6174460922659625E-3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2.6324470189021888E-3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2.6474479455384152E-3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2.6624488721746411E-3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2.6786362618259401E-3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2.6948236514772396E-3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2.710219322833387E-3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2.725614994189534E-3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2.741010665545681E-3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2.7564063369018288E-3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2.7718020082579758E-3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2.7828756665756438E-3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2.7939493248933123E-3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2.8050229832109808E-3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2.8160966415286485E-3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2.827170299846317E-3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2.8377209815067445E-3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2.8482716631671734E-3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2.8588223448276009E-3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2.8693730264880285E-3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2.8799237081484574E-3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2.89011399415988E-3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2.9003042801713035E-3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2.9104945661827266E-3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2.9206848521941497E-3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2.9308751382055727E-3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1.5455327397006519E-2</v>
      </c>
      <c r="C13" s="7">
        <f>$B13 * IFERROR(VLOOKUP("buildings|PM25|Non-fatal heart attacks", US_national_yearly!$D:$AM, 11, FALSE) / VLOOKUP("buildings|PM25|Non-fatal heart attacks", US_national_yearly!$D:$AM, 10, FALSE), 1)</f>
        <v>1.5904867464070053E-2</v>
      </c>
      <c r="D13" s="7">
        <f>$B13 * IFERROR(VLOOKUP("buildings|PM25|Non-fatal heart attacks", US_national_yearly!$D:$AM, 12, FALSE) / VLOOKUP("buildings|PM25|Non-fatal heart attacks", US_national_yearly!$D:$AM, 10, FALSE), 1)</f>
        <v>1.6354407531133579E-2</v>
      </c>
      <c r="E13" s="7">
        <f>$B13 * IFERROR(VLOOKUP("buildings|PM25|Non-fatal heart attacks", US_national_yearly!$D:$AM, 13, FALSE) / VLOOKUP("buildings|PM25|Non-fatal heart attacks", US_national_yearly!$D:$AM, 10, FALSE), 1)</f>
        <v>1.680394759819711E-2</v>
      </c>
      <c r="F13" s="7">
        <f>$B13 * IFERROR(VLOOKUP("buildings|PM25|Non-fatal heart attacks", US_national_yearly!$D:$AM, 14, FALSE) / VLOOKUP("buildings|PM25|Non-fatal heart attacks", US_national_yearly!$D:$AM, 10, FALSE), 1)</f>
        <v>1.7253487665260643E-2</v>
      </c>
      <c r="G13" s="7">
        <f>$B13 * IFERROR(VLOOKUP("buildings|PM25|Non-fatal heart attacks", US_national_yearly!$D:$AM, 15, FALSE) / VLOOKUP("buildings|PM25|Non-fatal heart attacks", US_national_yearly!$D:$AM, 10, FALSE), 1)</f>
        <v>1.7677654394091545E-2</v>
      </c>
      <c r="H13" s="7">
        <f>$B13 * IFERROR(VLOOKUP("buildings|PM25|Non-fatal heart attacks", US_national_yearly!$D:$AM, 16, FALSE) / VLOOKUP("buildings|PM25|Non-fatal heart attacks", US_national_yearly!$D:$AM, 10, FALSE), 1)</f>
        <v>1.810182112292244E-2</v>
      </c>
      <c r="I13" s="7">
        <f>$B13 * IFERROR(VLOOKUP("buildings|PM25|Non-fatal heart attacks", US_national_yearly!$D:$AM, 17, FALSE) / VLOOKUP("buildings|PM25|Non-fatal heart attacks", US_national_yearly!$D:$AM, 10, FALSE), 1)</f>
        <v>1.8443096200805364E-2</v>
      </c>
      <c r="J13" s="7">
        <f>$B13 * IFERROR(VLOOKUP("buildings|PM25|Non-fatal heart attacks", US_national_yearly!$D:$AM, 18, FALSE) / VLOOKUP("buildings|PM25|Non-fatal heart attacks", US_national_yearly!$D:$AM, 10, FALSE), 1)</f>
        <v>1.8784371278688289E-2</v>
      </c>
      <c r="K13" s="7">
        <f>$B13 * IFERROR(VLOOKUP("buildings|PM25|Non-fatal heart attacks", US_national_yearly!$D:$AM, 19, FALSE) / VLOOKUP("buildings|PM25|Non-fatal heart attacks", US_national_yearly!$D:$AM, 10, FALSE), 1)</f>
        <v>1.912564635657121E-2</v>
      </c>
      <c r="L13" s="7">
        <f>$B13 * IFERROR(VLOOKUP("buildings|PM25|Non-fatal heart attacks", US_national_yearly!$D:$AM, 20, FALSE) / VLOOKUP("buildings|PM25|Non-fatal heart attacks", US_national_yearly!$D:$AM, 10, FALSE), 1)</f>
        <v>1.9466921434454127E-2</v>
      </c>
      <c r="M13" s="7">
        <f>$B13 * IFERROR(VLOOKUP("buildings|PM25|Non-fatal heart attacks", US_national_yearly!$D:$AM, 21, FALSE) / VLOOKUP("buildings|PM25|Non-fatal heart attacks", US_national_yearly!$D:$AM, 10, FALSE), 1)</f>
        <v>1.9808196512337048E-2</v>
      </c>
      <c r="N13" s="7">
        <f>$B13 * IFERROR(VLOOKUP("buildings|PM25|Non-fatal heart attacks", US_national_yearly!$D:$AM, 22, FALSE) / VLOOKUP("buildings|PM25|Non-fatal heart attacks", US_national_yearly!$D:$AM, 10, FALSE), 1)</f>
        <v>2.0028665544485142E-2</v>
      </c>
      <c r="O13" s="7">
        <f>$B13 * IFERROR(VLOOKUP("buildings|PM25|Non-fatal heart attacks", US_national_yearly!$D:$AM, 23, FALSE) / VLOOKUP("buildings|PM25|Non-fatal heart attacks", US_national_yearly!$D:$AM, 10, FALSE), 1)</f>
        <v>2.0249134576633229E-2</v>
      </c>
      <c r="P13" s="7">
        <f>$B13 * IFERROR(VLOOKUP("buildings|PM25|Non-fatal heart attacks", US_national_yearly!$D:$AM, 24, FALSE) / VLOOKUP("buildings|PM25|Non-fatal heart attacks", US_national_yearly!$D:$AM, 10, FALSE), 1)</f>
        <v>2.046960360878132E-2</v>
      </c>
      <c r="Q13" s="7">
        <f>$B13 * IFERROR(VLOOKUP("buildings|PM25|Non-fatal heart attacks", US_national_yearly!$D:$AM, 25, FALSE) / VLOOKUP("buildings|PM25|Non-fatal heart attacks", US_national_yearly!$D:$AM, 10, FALSE), 1)</f>
        <v>2.0690072640929414E-2</v>
      </c>
      <c r="R13" s="7">
        <f>$B13 * IFERROR(VLOOKUP("buildings|PM25|Non-fatal heart attacks", US_national_yearly!$D:$AM, 26, FALSE) / VLOOKUP("buildings|PM25|Non-fatal heart attacks", US_national_yearly!$D:$AM, 10, FALSE), 1)</f>
        <v>2.0910541673077505E-2</v>
      </c>
      <c r="S13" s="7">
        <f>$B13 * IFERROR(VLOOKUP("buildings|PM25|Non-fatal heart attacks", US_national_yearly!$D:$AM, 27, FALSE) / VLOOKUP("buildings|PM25|Non-fatal heart attacks", US_national_yearly!$D:$AM, 10, FALSE), 1)</f>
        <v>2.102714984787166E-2</v>
      </c>
      <c r="T13" s="7">
        <f>$B13 * IFERROR(VLOOKUP("buildings|PM25|Non-fatal heart attacks", US_national_yearly!$D:$AM, 28, FALSE) / VLOOKUP("buildings|PM25|Non-fatal heart attacks", US_national_yearly!$D:$AM, 10, FALSE), 1)</f>
        <v>2.1143758022665823E-2</v>
      </c>
      <c r="U13" s="7">
        <f>$B13 * IFERROR(VLOOKUP("buildings|PM25|Non-fatal heart attacks", US_national_yearly!$D:$AM, 29, FALSE) / VLOOKUP("buildings|PM25|Non-fatal heart attacks", US_national_yearly!$D:$AM, 10, FALSE), 1)</f>
        <v>2.1260366197459982E-2</v>
      </c>
      <c r="V13" s="7">
        <f>$B13 * IFERROR(VLOOKUP("buildings|PM25|Non-fatal heart attacks", US_national_yearly!$D:$AM, 30, FALSE) / VLOOKUP("buildings|PM25|Non-fatal heart attacks", US_national_yearly!$D:$AM, 10, FALSE), 1)</f>
        <v>2.1376974372254137E-2</v>
      </c>
      <c r="W13" s="7">
        <f>$B13 * IFERROR(VLOOKUP("buildings|PM25|Non-fatal heart attacks", US_national_yearly!$D:$AM, 31, FALSE) / VLOOKUP("buildings|PM25|Non-fatal heart attacks", US_national_yearly!$D:$AM, 10, FALSE), 1)</f>
        <v>2.14935825470483E-2</v>
      </c>
      <c r="X13" s="7">
        <f>$B13 * IFERROR(VLOOKUP("buildings|PM25|Non-fatal heart attacks", US_national_yearly!$D:$AM, 32, FALSE) / VLOOKUP("buildings|PM25|Non-fatal heart attacks", US_national_yearly!$D:$AM, 10, FALSE), 1)</f>
        <v>2.158232988493216E-2</v>
      </c>
      <c r="Y13" s="7">
        <f>$B13 * IFERROR(VLOOKUP("buildings|PM25|Non-fatal heart attacks", US_national_yearly!$D:$AM, 33, FALSE) / VLOOKUP("buildings|PM25|Non-fatal heart attacks", US_national_yearly!$D:$AM, 10, FALSE), 1)</f>
        <v>2.1671077222816023E-2</v>
      </c>
      <c r="Z13" s="7">
        <f>$B13 * IFERROR(VLOOKUP("buildings|PM25|Non-fatal heart attacks", US_national_yearly!$D:$AM, 34, FALSE) / VLOOKUP("buildings|PM25|Non-fatal heart attacks", US_national_yearly!$D:$AM, 10, FALSE), 1)</f>
        <v>2.1759824560699879E-2</v>
      </c>
      <c r="AA13" s="7">
        <f>$B13 * IFERROR(VLOOKUP("buildings|PM25|Non-fatal heart attacks", US_national_yearly!$D:$AM, 35, FALSE) / VLOOKUP("buildings|PM25|Non-fatal heart attacks", US_national_yearly!$D:$AM, 10, FALSE), 1)</f>
        <v>2.1848571898583743E-2</v>
      </c>
      <c r="AB13" s="7">
        <f>$B13 * IFERROR(VLOOKUP("buildings|PM25|Non-fatal heart attacks", US_national_yearly!$D:$AM, 36, FALSE) / VLOOKUP("buildings|PM25|Non-fatal heart attacks", US_national_yearly!$D:$AM, 10, FALSE), 1)</f>
        <v>2.1937319236467606E-2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11.397363202631579</v>
      </c>
      <c r="C14" s="7">
        <f>$B14 * IFERROR(VLOOKUP("buildings|PM25|Minor restricted activity days", US_national_yearly!$D:$AM, 11, FALSE) / VLOOKUP("buildings|PM25|Minor restricted activity days", US_national_yearly!$D:$AM, 10, FALSE), 1)</f>
        <v>11.425709083880701</v>
      </c>
      <c r="D14" s="7">
        <f>$B14 * IFERROR(VLOOKUP("buildings|PM25|Minor restricted activity days", US_national_yearly!$D:$AM, 12, FALSE) / VLOOKUP("buildings|PM25|Minor restricted activity days", US_national_yearly!$D:$AM, 10, FALSE), 1)</f>
        <v>11.454054965129822</v>
      </c>
      <c r="E14" s="7">
        <f>$B14 * IFERROR(VLOOKUP("buildings|PM25|Minor restricted activity days", US_national_yearly!$D:$AM, 13, FALSE) / VLOOKUP("buildings|PM25|Minor restricted activity days", US_national_yearly!$D:$AM, 10, FALSE), 1)</f>
        <v>11.482400846378946</v>
      </c>
      <c r="F14" s="7">
        <f>$B14 * IFERROR(VLOOKUP("buildings|PM25|Minor restricted activity days", US_national_yearly!$D:$AM, 14, FALSE) / VLOOKUP("buildings|PM25|Minor restricted activity days", US_national_yearly!$D:$AM, 10, FALSE), 1)</f>
        <v>11.510746727628064</v>
      </c>
      <c r="G14" s="7">
        <f>$B14 * IFERROR(VLOOKUP("buildings|PM25|Minor restricted activity days", US_national_yearly!$D:$AM, 15, FALSE) / VLOOKUP("buildings|PM25|Minor restricted activity days", US_national_yearly!$D:$AM, 10, FALSE), 1)</f>
        <v>11.552321528995561</v>
      </c>
      <c r="H14" s="7">
        <f>$B14 * IFERROR(VLOOKUP("buildings|PM25|Minor restricted activity days", US_national_yearly!$D:$AM, 16, FALSE) / VLOOKUP("buildings|PM25|Minor restricted activity days", US_national_yearly!$D:$AM, 10, FALSE), 1)</f>
        <v>11.593896330363052</v>
      </c>
      <c r="I14" s="7">
        <f>$B14 * IFERROR(VLOOKUP("buildings|PM25|Minor restricted activity days", US_national_yearly!$D:$AM, 17, FALSE) / VLOOKUP("buildings|PM25|Minor restricted activity days", US_national_yearly!$D:$AM, 10, FALSE), 1)</f>
        <v>11.664592155664666</v>
      </c>
      <c r="J14" s="7">
        <f>$B14 * IFERROR(VLOOKUP("buildings|PM25|Minor restricted activity days", US_national_yearly!$D:$AM, 18, FALSE) / VLOOKUP("buildings|PM25|Minor restricted activity days", US_national_yearly!$D:$AM, 10, FALSE), 1)</f>
        <v>11.735287980966284</v>
      </c>
      <c r="K14" s="7">
        <f>$B14 * IFERROR(VLOOKUP("buildings|PM25|Minor restricted activity days", US_national_yearly!$D:$AM, 19, FALSE) / VLOOKUP("buildings|PM25|Minor restricted activity days", US_national_yearly!$D:$AM, 10, FALSE), 1)</f>
        <v>11.805983806267891</v>
      </c>
      <c r="L14" s="7">
        <f>$B14 * IFERROR(VLOOKUP("buildings|PM25|Minor restricted activity days", US_national_yearly!$D:$AM, 20, FALSE) / VLOOKUP("buildings|PM25|Minor restricted activity days", US_national_yearly!$D:$AM, 10, FALSE), 1)</f>
        <v>11.876679631569502</v>
      </c>
      <c r="M14" s="7">
        <f>$B14 * IFERROR(VLOOKUP("buildings|PM25|Minor restricted activity days", US_national_yearly!$D:$AM, 21, FALSE) / VLOOKUP("buildings|PM25|Minor restricted activity days", US_national_yearly!$D:$AM, 10, FALSE), 1)</f>
        <v>11.947375456871113</v>
      </c>
      <c r="N14" s="7">
        <f>$B14 * IFERROR(VLOOKUP("buildings|PM25|Minor restricted activity days", US_national_yearly!$D:$AM, 22, FALSE) / VLOOKUP("buildings|PM25|Minor restricted activity days", US_national_yearly!$D:$AM, 10, FALSE), 1)</f>
        <v>12.043434027119964</v>
      </c>
      <c r="O14" s="7">
        <f>$B14 * IFERROR(VLOOKUP("buildings|PM25|Minor restricted activity days", US_national_yearly!$D:$AM, 23, FALSE) / VLOOKUP("buildings|PM25|Minor restricted activity days", US_national_yearly!$D:$AM, 10, FALSE), 1)</f>
        <v>12.139492597368815</v>
      </c>
      <c r="P14" s="7">
        <f>$B14 * IFERROR(VLOOKUP("buildings|PM25|Minor restricted activity days", US_national_yearly!$D:$AM, 24, FALSE) / VLOOKUP("buildings|PM25|Minor restricted activity days", US_national_yearly!$D:$AM, 10, FALSE), 1)</f>
        <v>12.235551167617665</v>
      </c>
      <c r="Q14" s="7">
        <f>$B14 * IFERROR(VLOOKUP("buildings|PM25|Minor restricted activity days", US_national_yearly!$D:$AM, 25, FALSE) / VLOOKUP("buildings|PM25|Minor restricted activity days", US_national_yearly!$D:$AM, 10, FALSE), 1)</f>
        <v>12.331609737866515</v>
      </c>
      <c r="R14" s="7">
        <f>$B14 * IFERROR(VLOOKUP("buildings|PM25|Minor restricted activity days", US_national_yearly!$D:$AM, 26, FALSE) / VLOOKUP("buildings|PM25|Minor restricted activity days", US_national_yearly!$D:$AM, 10, FALSE), 1)</f>
        <v>12.427668308115365</v>
      </c>
      <c r="S14" s="7">
        <f>$B14 * IFERROR(VLOOKUP("buildings|PM25|Minor restricted activity days", US_national_yearly!$D:$AM, 27, FALSE) / VLOOKUP("buildings|PM25|Minor restricted activity days", US_national_yearly!$D:$AM, 10, FALSE), 1)</f>
        <v>12.524322158520356</v>
      </c>
      <c r="T14" s="7">
        <f>$B14 * IFERROR(VLOOKUP("buildings|PM25|Minor restricted activity days", US_national_yearly!$D:$AM, 28, FALSE) / VLOOKUP("buildings|PM25|Minor restricted activity days", US_national_yearly!$D:$AM, 10, FALSE), 1)</f>
        <v>12.620976008925343</v>
      </c>
      <c r="U14" s="7">
        <f>$B14 * IFERROR(VLOOKUP("buildings|PM25|Minor restricted activity days", US_national_yearly!$D:$AM, 29, FALSE) / VLOOKUP("buildings|PM25|Minor restricted activity days", US_national_yearly!$D:$AM, 10, FALSE), 1)</f>
        <v>12.717629859330332</v>
      </c>
      <c r="V14" s="7">
        <f>$B14 * IFERROR(VLOOKUP("buildings|PM25|Minor restricted activity days", US_national_yearly!$D:$AM, 30, FALSE) / VLOOKUP("buildings|PM25|Minor restricted activity days", US_national_yearly!$D:$AM, 10, FALSE), 1)</f>
        <v>12.814283709735321</v>
      </c>
      <c r="W14" s="7">
        <f>$B14 * IFERROR(VLOOKUP("buildings|PM25|Minor restricted activity days", US_national_yearly!$D:$AM, 31, FALSE) / VLOOKUP("buildings|PM25|Minor restricted activity days", US_national_yearly!$D:$AM, 10, FALSE), 1)</f>
        <v>12.91093756014031</v>
      </c>
      <c r="X14" s="7">
        <f>$B14 * IFERROR(VLOOKUP("buildings|PM25|Minor restricted activity days", US_national_yearly!$D:$AM, 32, FALSE) / VLOOKUP("buildings|PM25|Minor restricted activity days", US_national_yearly!$D:$AM, 10, FALSE), 1)</f>
        <v>12.994862638776706</v>
      </c>
      <c r="Y14" s="7">
        <f>$B14 * IFERROR(VLOOKUP("buildings|PM25|Minor restricted activity days", US_national_yearly!$D:$AM, 33, FALSE) / VLOOKUP("buildings|PM25|Minor restricted activity days", US_national_yearly!$D:$AM, 10, FALSE), 1)</f>
        <v>13.0787877174131</v>
      </c>
      <c r="Z14" s="7">
        <f>$B14 * IFERROR(VLOOKUP("buildings|PM25|Minor restricted activity days", US_national_yearly!$D:$AM, 34, FALSE) / VLOOKUP("buildings|PM25|Minor restricted activity days", US_national_yearly!$D:$AM, 10, FALSE), 1)</f>
        <v>13.162712796049492</v>
      </c>
      <c r="AA14" s="7">
        <f>$B14 * IFERROR(VLOOKUP("buildings|PM25|Minor restricted activity days", US_national_yearly!$D:$AM, 35, FALSE) / VLOOKUP("buildings|PM25|Minor restricted activity days", US_national_yearly!$D:$AM, 10, FALSE), 1)</f>
        <v>13.246637874685886</v>
      </c>
      <c r="AB14" s="7">
        <f>$B14 * IFERROR(VLOOKUP("buildings|PM25|Minor restricted activity days", US_national_yearly!$D:$AM, 36, FALSE) / VLOOKUP("buildings|PM25|Minor restricted activity days", US_national_yearly!$D:$AM, 10, FALSE), 1)</f>
        <v>13.33056295332228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1.9427030048777618</v>
      </c>
      <c r="C15" s="7">
        <f>$B15 * IFERROR(VLOOKUP("buildings|PM25|Work loss days", US_national_yearly!$D:$AM, 11, FALSE) / VLOOKUP("buildings|PM25|Work loss days", US_national_yearly!$D:$AM, 10, FALSE), 1)</f>
        <v>1.948799625870629</v>
      </c>
      <c r="D15" s="7">
        <f>$B15 * IFERROR(VLOOKUP("buildings|PM25|Work loss days", US_national_yearly!$D:$AM, 12, FALSE) / VLOOKUP("buildings|PM25|Work loss days", US_national_yearly!$D:$AM, 10, FALSE), 1)</f>
        <v>1.9548962468634956</v>
      </c>
      <c r="E15" s="7">
        <f>$B15 * IFERROR(VLOOKUP("buildings|PM25|Work loss days", US_national_yearly!$D:$AM, 13, FALSE) / VLOOKUP("buildings|PM25|Work loss days", US_national_yearly!$D:$AM, 10, FALSE), 1)</f>
        <v>1.9609928678563624</v>
      </c>
      <c r="F15" s="7">
        <f>$B15 * IFERROR(VLOOKUP("buildings|PM25|Work loss days", US_national_yearly!$D:$AM, 14, FALSE) / VLOOKUP("buildings|PM25|Work loss days", US_national_yearly!$D:$AM, 10, FALSE), 1)</f>
        <v>1.967089488849229</v>
      </c>
      <c r="G15" s="7">
        <f>$B15 * IFERROR(VLOOKUP("buildings|PM25|Work loss days", US_national_yearly!$D:$AM, 15, FALSE) / VLOOKUP("buildings|PM25|Work loss days", US_national_yearly!$D:$AM, 10, FALSE), 1)</f>
        <v>1.9750583188303383</v>
      </c>
      <c r="H15" s="7">
        <f>$B15 * IFERROR(VLOOKUP("buildings|PM25|Work loss days", US_national_yearly!$D:$AM, 16, FALSE) / VLOOKUP("buildings|PM25|Work loss days", US_national_yearly!$D:$AM, 10, FALSE), 1)</f>
        <v>1.9830271488114479</v>
      </c>
      <c r="I15" s="7">
        <f>$B15 * IFERROR(VLOOKUP("buildings|PM25|Work loss days", US_national_yearly!$D:$AM, 17, FALSE) / VLOOKUP("buildings|PM25|Work loss days", US_national_yearly!$D:$AM, 10, FALSE), 1)</f>
        <v>1.9947307008968602</v>
      </c>
      <c r="J15" s="7">
        <f>$B15 * IFERROR(VLOOKUP("buildings|PM25|Work loss days", US_national_yearly!$D:$AM, 18, FALSE) / VLOOKUP("buildings|PM25|Work loss days", US_national_yearly!$D:$AM, 10, FALSE), 1)</f>
        <v>2.0064342529822725</v>
      </c>
      <c r="K15" s="7">
        <f>$B15 * IFERROR(VLOOKUP("buildings|PM25|Work loss days", US_national_yearly!$D:$AM, 19, FALSE) / VLOOKUP("buildings|PM25|Work loss days", US_national_yearly!$D:$AM, 10, FALSE), 1)</f>
        <v>2.0181378050676853</v>
      </c>
      <c r="L15" s="7">
        <f>$B15 * IFERROR(VLOOKUP("buildings|PM25|Work loss days", US_national_yearly!$D:$AM, 20, FALSE) / VLOOKUP("buildings|PM25|Work loss days", US_national_yearly!$D:$AM, 10, FALSE), 1)</f>
        <v>2.0298413571530975</v>
      </c>
      <c r="M15" s="7">
        <f>$B15 * IFERROR(VLOOKUP("buildings|PM25|Work loss days", US_national_yearly!$D:$AM, 21, FALSE) / VLOOKUP("buildings|PM25|Work loss days", US_national_yearly!$D:$AM, 10, FALSE), 1)</f>
        <v>2.0415449092385103</v>
      </c>
      <c r="N15" s="7">
        <f>$B15 * IFERROR(VLOOKUP("buildings|PM25|Work loss days", US_national_yearly!$D:$AM, 22, FALSE) / VLOOKUP("buildings|PM25|Work loss days", US_national_yearly!$D:$AM, 10, FALSE), 1)</f>
        <v>2.0562593806653986</v>
      </c>
      <c r="O15" s="7">
        <f>$B15 * IFERROR(VLOOKUP("buildings|PM25|Work loss days", US_national_yearly!$D:$AM, 23, FALSE) / VLOOKUP("buildings|PM25|Work loss days", US_national_yearly!$D:$AM, 10, FALSE), 1)</f>
        <v>2.0709738520922869</v>
      </c>
      <c r="P15" s="7">
        <f>$B15 * IFERROR(VLOOKUP("buildings|PM25|Work loss days", US_national_yearly!$D:$AM, 24, FALSE) / VLOOKUP("buildings|PM25|Work loss days", US_national_yearly!$D:$AM, 10, FALSE), 1)</f>
        <v>2.0856883235191748</v>
      </c>
      <c r="Q15" s="7">
        <f>$B15 * IFERROR(VLOOKUP("buildings|PM25|Work loss days", US_national_yearly!$D:$AM, 25, FALSE) / VLOOKUP("buildings|PM25|Work loss days", US_national_yearly!$D:$AM, 10, FALSE), 1)</f>
        <v>2.1004027949460626</v>
      </c>
      <c r="R15" s="7">
        <f>$B15 * IFERROR(VLOOKUP("buildings|PM25|Work loss days", US_national_yearly!$D:$AM, 26, FALSE) / VLOOKUP("buildings|PM25|Work loss days", US_national_yearly!$D:$AM, 10, FALSE), 1)</f>
        <v>2.1151172663729514</v>
      </c>
      <c r="S15" s="7">
        <f>$B15 * IFERROR(VLOOKUP("buildings|PM25|Work loss days", US_national_yearly!$D:$AM, 27, FALSE) / VLOOKUP("buildings|PM25|Work loss days", US_national_yearly!$D:$AM, 10, FALSE), 1)</f>
        <v>2.1313712288286375</v>
      </c>
      <c r="T15" s="7">
        <f>$B15 * IFERROR(VLOOKUP("buildings|PM25|Work loss days", US_national_yearly!$D:$AM, 28, FALSE) / VLOOKUP("buildings|PM25|Work loss days", US_national_yearly!$D:$AM, 10, FALSE), 1)</f>
        <v>2.1476251912843241</v>
      </c>
      <c r="U15" s="7">
        <f>$B15 * IFERROR(VLOOKUP("buildings|PM25|Work loss days", US_national_yearly!$D:$AM, 29, FALSE) / VLOOKUP("buildings|PM25|Work loss days", US_national_yearly!$D:$AM, 10, FALSE), 1)</f>
        <v>2.1638791537400106</v>
      </c>
      <c r="V15" s="7">
        <f>$B15 * IFERROR(VLOOKUP("buildings|PM25|Work loss days", US_national_yearly!$D:$AM, 30, FALSE) / VLOOKUP("buildings|PM25|Work loss days", US_national_yearly!$D:$AM, 10, FALSE), 1)</f>
        <v>2.1801331161956967</v>
      </c>
      <c r="W15" s="7">
        <f>$B15 * IFERROR(VLOOKUP("buildings|PM25|Work loss days", US_national_yearly!$D:$AM, 31, FALSE) / VLOOKUP("buildings|PM25|Work loss days", US_national_yearly!$D:$AM, 10, FALSE), 1)</f>
        <v>2.1963870786513833</v>
      </c>
      <c r="X15" s="7">
        <f>$B15 * IFERROR(VLOOKUP("buildings|PM25|Work loss days", US_national_yearly!$D:$AM, 32, FALSE) / VLOOKUP("buildings|PM25|Work loss days", US_national_yearly!$D:$AM, 10, FALSE), 1)</f>
        <v>2.2108109211752245</v>
      </c>
      <c r="Y15" s="7">
        <f>$B15 * IFERROR(VLOOKUP("buildings|PM25|Work loss days", US_national_yearly!$D:$AM, 33, FALSE) / VLOOKUP("buildings|PM25|Work loss days", US_national_yearly!$D:$AM, 10, FALSE), 1)</f>
        <v>2.2252347636990661</v>
      </c>
      <c r="Z15" s="7">
        <f>$B15 * IFERROR(VLOOKUP("buildings|PM25|Work loss days", US_national_yearly!$D:$AM, 34, FALSE) / VLOOKUP("buildings|PM25|Work loss days", US_national_yearly!$D:$AM, 10, FALSE), 1)</f>
        <v>2.2396586062229074</v>
      </c>
      <c r="AA15" s="7">
        <f>$B15 * IFERROR(VLOOKUP("buildings|PM25|Work loss days", US_national_yearly!$D:$AM, 35, FALSE) / VLOOKUP("buildings|PM25|Work loss days", US_national_yearly!$D:$AM, 10, FALSE), 1)</f>
        <v>2.254082448746749</v>
      </c>
      <c r="AB15" s="7">
        <f>$B15 * IFERROR(VLOOKUP("buildings|PM25|Work loss days", US_national_yearly!$D:$AM, 36, FALSE) / VLOOKUP("buildings|PM25|Work loss days", US_national_yearly!$D:$AM, 10, FALSE), 1)</f>
        <v>2.2685062912705902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3.6979765581681419E-3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3.8084955676904366E-3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3.9190145772127309E-3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4.0295335867350252E-3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4.1400525962573195E-3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4.2459465367817341E-3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4.3518404773061486E-3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4.4424954334962167E-3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4.5331503896862847E-3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4.6238053458763544E-3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4.7144603020664233E-3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4.8051152582564921E-3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4.8656501777319455E-3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4.9261850972073988E-3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4.9867200166828513E-3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5.0472549361583047E-3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5.1077898556337572E-3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5.1399560802985415E-3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5.1721223049633249E-3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5.2042885296281084E-3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5.2364547542928918E-3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5.2686209789576761E-3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5.2903703806983036E-3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5.3121197824389302E-3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5.3338691841795577E-3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5.3556185859201834E-3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5.3773679876608109E-3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1.2313180381112929E-3</v>
      </c>
      <c r="C2" s="7">
        <f>$B2 * IFERROR(VLOOKUP("buildings|NOx|Premature mortality", US_national_yearly!$D:$AM, 11, FALSE) / VLOOKUP("buildings|NOx|Premature mortality", US_national_yearly!$D:$AM, 10, FALSE), 1)</f>
        <v>1.2494291059606942E-3</v>
      </c>
      <c r="D2" s="7">
        <f>$B2 * IFERROR(VLOOKUP("buildings|NOx|Premature mortality", US_national_yearly!$D:$AM, 12, FALSE) / VLOOKUP("buildings|NOx|Premature mortality", US_national_yearly!$D:$AM, 10, FALSE), 1)</f>
        <v>1.2675401738100956E-3</v>
      </c>
      <c r="E2" s="7">
        <f>$B2 * IFERROR(VLOOKUP("buildings|NOx|Premature mortality", US_national_yearly!$D:$AM, 13, FALSE) / VLOOKUP("buildings|NOx|Premature mortality", US_national_yearly!$D:$AM, 10, FALSE), 1)</f>
        <v>1.285651241659497E-3</v>
      </c>
      <c r="F2" s="7">
        <f>$B2 * IFERROR(VLOOKUP("buildings|NOx|Premature mortality", US_national_yearly!$D:$AM, 14, FALSE) / VLOOKUP("buildings|NOx|Premature mortality", US_national_yearly!$D:$AM, 10, FALSE), 1)</f>
        <v>1.3037623095088981E-3</v>
      </c>
      <c r="G2" s="7">
        <f>$B2 * IFERROR(VLOOKUP("buildings|NOx|Premature mortality", US_national_yearly!$D:$AM, 15, FALSE) / VLOOKUP("buildings|NOx|Premature mortality", US_national_yearly!$D:$AM, 10, FALSE), 1)</f>
        <v>1.3362782392119484E-3</v>
      </c>
      <c r="H2" s="7">
        <f>$B2 * IFERROR(VLOOKUP("buildings|NOx|Premature mortality", US_national_yearly!$D:$AM, 16, FALSE) / VLOOKUP("buildings|NOx|Premature mortality", US_national_yearly!$D:$AM, 10, FALSE), 1)</f>
        <v>1.368794168914999E-3</v>
      </c>
      <c r="I2" s="7">
        <f>$B2 * IFERROR(VLOOKUP("buildings|NOx|Premature mortality", US_national_yearly!$D:$AM, 17, FALSE) / VLOOKUP("buildings|NOx|Premature mortality", US_national_yearly!$D:$AM, 10, FALSE), 1)</f>
        <v>1.3898077142526907E-3</v>
      </c>
      <c r="J2" s="7">
        <f>$B2 * IFERROR(VLOOKUP("buildings|NOx|Premature mortality", US_national_yearly!$D:$AM, 18, FALSE) / VLOOKUP("buildings|NOx|Premature mortality", US_national_yearly!$D:$AM, 10, FALSE), 1)</f>
        <v>1.410821259590382E-3</v>
      </c>
      <c r="K2" s="7">
        <f>$B2 * IFERROR(VLOOKUP("buildings|NOx|Premature mortality", US_national_yearly!$D:$AM, 19, FALSE) / VLOOKUP("buildings|NOx|Premature mortality", US_national_yearly!$D:$AM, 10, FALSE), 1)</f>
        <v>1.4318348049280737E-3</v>
      </c>
      <c r="L2" s="7">
        <f>$B2 * IFERROR(VLOOKUP("buildings|NOx|Premature mortality", US_national_yearly!$D:$AM, 20, FALSE) / VLOOKUP("buildings|NOx|Premature mortality", US_national_yearly!$D:$AM, 10, FALSE), 1)</f>
        <v>1.4528483502657655E-3</v>
      </c>
      <c r="M2" s="7">
        <f>$B2 * IFERROR(VLOOKUP("buildings|NOx|Premature mortality", US_national_yearly!$D:$AM, 21, FALSE) / VLOOKUP("buildings|NOx|Premature mortality", US_national_yearly!$D:$AM, 10, FALSE), 1)</f>
        <v>1.4738618956034572E-3</v>
      </c>
      <c r="N2" s="7">
        <f>$B2 * IFERROR(VLOOKUP("buildings|NOx|Premature mortality", US_national_yearly!$D:$AM, 22, FALSE) / VLOOKUP("buildings|NOx|Premature mortality", US_national_yearly!$D:$AM, 10, FALSE), 1)</f>
        <v>1.4894321305467045E-3</v>
      </c>
      <c r="O2" s="7">
        <f>$B2 * IFERROR(VLOOKUP("buildings|NOx|Premature mortality", US_national_yearly!$D:$AM, 23, FALSE) / VLOOKUP("buildings|NOx|Premature mortality", US_national_yearly!$D:$AM, 10, FALSE), 1)</f>
        <v>1.505002365489952E-3</v>
      </c>
      <c r="P2" s="7">
        <f>$B2 * IFERROR(VLOOKUP("buildings|NOx|Premature mortality", US_national_yearly!$D:$AM, 24, FALSE) / VLOOKUP("buildings|NOx|Premature mortality", US_national_yearly!$D:$AM, 10, FALSE), 1)</f>
        <v>1.5205726004331997E-3</v>
      </c>
      <c r="Q2" s="7">
        <f>$B2 * IFERROR(VLOOKUP("buildings|NOx|Premature mortality", US_national_yearly!$D:$AM, 25, FALSE) / VLOOKUP("buildings|NOx|Premature mortality", US_national_yearly!$D:$AM, 10, FALSE), 1)</f>
        <v>1.5361428353764469E-3</v>
      </c>
      <c r="R2" s="7">
        <f>$B2 * IFERROR(VLOOKUP("buildings|NOx|Premature mortality", US_national_yearly!$D:$AM, 26, FALSE) / VLOOKUP("buildings|NOx|Premature mortality", US_national_yearly!$D:$AM, 10, FALSE), 1)</f>
        <v>1.5517130703196944E-3</v>
      </c>
      <c r="S2" s="7">
        <f>$B2 * IFERROR(VLOOKUP("buildings|NOx|Premature mortality", US_national_yearly!$D:$AM, 27, FALSE) / VLOOKUP("buildings|NOx|Premature mortality", US_national_yearly!$D:$AM, 10, FALSE), 1)</f>
        <v>1.5587919129920744E-3</v>
      </c>
      <c r="T2" s="7">
        <f>$B2 * IFERROR(VLOOKUP("buildings|NOx|Premature mortality", US_national_yearly!$D:$AM, 28, FALSE) / VLOOKUP("buildings|NOx|Premature mortality", US_national_yearly!$D:$AM, 10, FALSE), 1)</f>
        <v>1.5658707556644542E-3</v>
      </c>
      <c r="U2" s="7">
        <f>$B2 * IFERROR(VLOOKUP("buildings|NOx|Premature mortality", US_national_yearly!$D:$AM, 29, FALSE) / VLOOKUP("buildings|NOx|Premature mortality", US_national_yearly!$D:$AM, 10, FALSE), 1)</f>
        <v>1.5729495983368342E-3</v>
      </c>
      <c r="V2" s="7">
        <f>$B2 * IFERROR(VLOOKUP("buildings|NOx|Premature mortality", US_national_yearly!$D:$AM, 30, FALSE) / VLOOKUP("buildings|NOx|Premature mortality", US_national_yearly!$D:$AM, 10, FALSE), 1)</f>
        <v>1.5800284410092142E-3</v>
      </c>
      <c r="W2" s="7">
        <f>$B2 * IFERROR(VLOOKUP("buildings|NOx|Premature mortality", US_national_yearly!$D:$AM, 31, FALSE) / VLOOKUP("buildings|NOx|Premature mortality", US_national_yearly!$D:$AM, 10, FALSE), 1)</f>
        <v>1.587107283681594E-3</v>
      </c>
      <c r="X2" s="7">
        <f>$B2 * IFERROR(VLOOKUP("buildings|NOx|Premature mortality", US_national_yearly!$D:$AM, 32, FALSE) / VLOOKUP("buildings|NOx|Premature mortality", US_national_yearly!$D:$AM, 10, FALSE), 1)</f>
        <v>1.587356594750065E-3</v>
      </c>
      <c r="Y2" s="7">
        <f>$B2 * IFERROR(VLOOKUP("buildings|NOx|Premature mortality", US_national_yearly!$D:$AM, 33, FALSE) / VLOOKUP("buildings|NOx|Premature mortality", US_national_yearly!$D:$AM, 10, FALSE), 1)</f>
        <v>1.587605905818536E-3</v>
      </c>
      <c r="Z2" s="7">
        <f>$B2 * IFERROR(VLOOKUP("buildings|NOx|Premature mortality", US_national_yearly!$D:$AM, 34, FALSE) / VLOOKUP("buildings|NOx|Premature mortality", US_national_yearly!$D:$AM, 10, FALSE), 1)</f>
        <v>1.587855216887007E-3</v>
      </c>
      <c r="AA2" s="7">
        <f>$B2 * IFERROR(VLOOKUP("buildings|NOx|Premature mortality", US_national_yearly!$D:$AM, 35, FALSE) / VLOOKUP("buildings|NOx|Premature mortality", US_national_yearly!$D:$AM, 10, FALSE), 1)</f>
        <v>1.5881045279554776E-3</v>
      </c>
      <c r="AB2" s="7">
        <f>$B2 * IFERROR(VLOOKUP("buildings|NOx|Premature mortality", US_national_yearly!$D:$AM, 36, FALSE) / VLOOKUP("buildings|NOx|Premature mortality", US_national_yearly!$D:$AM, 10, FALSE), 1)</f>
        <v>1.5883538390239491E-3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1.911455585357577E-6</v>
      </c>
      <c r="C3" s="7">
        <f>$B3 * IFERROR(VLOOKUP("buildings|NOx|Infant mortality", US_national_yearly!$D:$AM, 11, FALSE) / VLOOKUP("buildings|NOx|Infant mortality", US_national_yearly!$D:$AM, 10, FALSE), 1)</f>
        <v>1.8932990006508429E-6</v>
      </c>
      <c r="D3" s="7">
        <f>$B3 * IFERROR(VLOOKUP("buildings|NOx|Infant mortality", US_national_yearly!$D:$AM, 12, FALSE) / VLOOKUP("buildings|NOx|Infant mortality", US_national_yearly!$D:$AM, 10, FALSE), 1)</f>
        <v>1.8751424159441083E-6</v>
      </c>
      <c r="E3" s="7">
        <f>$B3 * IFERROR(VLOOKUP("buildings|NOx|Infant mortality", US_national_yearly!$D:$AM, 13, FALSE) / VLOOKUP("buildings|NOx|Infant mortality", US_national_yearly!$D:$AM, 10, FALSE), 1)</f>
        <v>1.8569858312373743E-6</v>
      </c>
      <c r="F3" s="7">
        <f>$B3 * IFERROR(VLOOKUP("buildings|NOx|Infant mortality", US_national_yearly!$D:$AM, 14, FALSE) / VLOOKUP("buildings|NOx|Infant mortality", US_national_yearly!$D:$AM, 10, FALSE), 1)</f>
        <v>1.8388292465306398E-6</v>
      </c>
      <c r="G3" s="7">
        <f>$B3 * IFERROR(VLOOKUP("buildings|NOx|Infant mortality", US_national_yearly!$D:$AM, 15, FALSE) / VLOOKUP("buildings|NOx|Infant mortality", US_national_yearly!$D:$AM, 10, FALSE), 1)</f>
        <v>1.2204998297250006E-6</v>
      </c>
      <c r="H3" s="7">
        <f>$B3 * IFERROR(VLOOKUP("buildings|NOx|Infant mortality", US_national_yearly!$D:$AM, 16, FALSE) / VLOOKUP("buildings|NOx|Infant mortality", US_national_yearly!$D:$AM, 10, FALSE), 1)</f>
        <v>6.0217041291936137E-7</v>
      </c>
      <c r="I3" s="7">
        <f>$B3 * IFERROR(VLOOKUP("buildings|NOx|Infant mortality", US_national_yearly!$D:$AM, 17, FALSE) / VLOOKUP("buildings|NOx|Infant mortality", US_national_yearly!$D:$AM, 10, FALSE), 1)</f>
        <v>5.9791634488468496E-7</v>
      </c>
      <c r="J3" s="7">
        <f>$B3 * IFERROR(VLOOKUP("buildings|NOx|Infant mortality", US_national_yearly!$D:$AM, 18, FALSE) / VLOOKUP("buildings|NOx|Infant mortality", US_national_yearly!$D:$AM, 10, FALSE), 1)</f>
        <v>5.9366227685000845E-7</v>
      </c>
      <c r="K3" s="7">
        <f>$B3 * IFERROR(VLOOKUP("buildings|NOx|Infant mortality", US_national_yearly!$D:$AM, 19, FALSE) / VLOOKUP("buildings|NOx|Infant mortality", US_national_yearly!$D:$AM, 10, FALSE), 1)</f>
        <v>5.8940820881533194E-7</v>
      </c>
      <c r="L3" s="7">
        <f>$B3 * IFERROR(VLOOKUP("buildings|NOx|Infant mortality", US_national_yearly!$D:$AM, 20, FALSE) / VLOOKUP("buildings|NOx|Infant mortality", US_national_yearly!$D:$AM, 10, FALSE), 1)</f>
        <v>5.8515414078065553E-7</v>
      </c>
      <c r="M3" s="7">
        <f>$B3 * IFERROR(VLOOKUP("buildings|NOx|Infant mortality", US_national_yearly!$D:$AM, 21, FALSE) / VLOOKUP("buildings|NOx|Infant mortality", US_national_yearly!$D:$AM, 10, FALSE), 1)</f>
        <v>5.8090007274597892E-7</v>
      </c>
      <c r="N3" s="7">
        <f>$B3 * IFERROR(VLOOKUP("buildings|NOx|Infant mortality", US_national_yearly!$D:$AM, 22, FALSE) / VLOOKUP("buildings|NOx|Infant mortality", US_national_yearly!$D:$AM, 10, FALSE), 1)</f>
        <v>5.78081140044357E-7</v>
      </c>
      <c r="O3" s="7">
        <f>$B3 * IFERROR(VLOOKUP("buildings|NOx|Infant mortality", US_national_yearly!$D:$AM, 23, FALSE) / VLOOKUP("buildings|NOx|Infant mortality", US_national_yearly!$D:$AM, 10, FALSE), 1)</f>
        <v>5.7526220734273498E-7</v>
      </c>
      <c r="P3" s="7">
        <f>$B3 * IFERROR(VLOOKUP("buildings|NOx|Infant mortality", US_national_yearly!$D:$AM, 24, FALSE) / VLOOKUP("buildings|NOx|Infant mortality", US_national_yearly!$D:$AM, 10, FALSE), 1)</f>
        <v>5.7244327464111297E-7</v>
      </c>
      <c r="Q3" s="7">
        <f>$B3 * IFERROR(VLOOKUP("buildings|NOx|Infant mortality", US_national_yearly!$D:$AM, 25, FALSE) / VLOOKUP("buildings|NOx|Infant mortality", US_national_yearly!$D:$AM, 10, FALSE), 1)</f>
        <v>5.6962434193949116E-7</v>
      </c>
      <c r="R3" s="7">
        <f>$B3 * IFERROR(VLOOKUP("buildings|NOx|Infant mortality", US_national_yearly!$D:$AM, 26, FALSE) / VLOOKUP("buildings|NOx|Infant mortality", US_national_yearly!$D:$AM, 10, FALSE), 1)</f>
        <v>5.6680540923786914E-7</v>
      </c>
      <c r="S3" s="7">
        <f>$B3 * IFERROR(VLOOKUP("buildings|NOx|Infant mortality", US_national_yearly!$D:$AM, 27, FALSE) / VLOOKUP("buildings|NOx|Infant mortality", US_national_yearly!$D:$AM, 10, FALSE), 1)</f>
        <v>5.6341441323693053E-7</v>
      </c>
      <c r="T3" s="7">
        <f>$B3 * IFERROR(VLOOKUP("buildings|NOx|Infant mortality", US_national_yearly!$D:$AM, 28, FALSE) / VLOOKUP("buildings|NOx|Infant mortality", US_national_yearly!$D:$AM, 10, FALSE), 1)</f>
        <v>5.6002341723599213E-7</v>
      </c>
      <c r="U3" s="7">
        <f>$B3 * IFERROR(VLOOKUP("buildings|NOx|Infant mortality", US_national_yearly!$D:$AM, 29, FALSE) / VLOOKUP("buildings|NOx|Infant mortality", US_national_yearly!$D:$AM, 10, FALSE), 1)</f>
        <v>5.5663242123505352E-7</v>
      </c>
      <c r="V3" s="7">
        <f>$B3 * IFERROR(VLOOKUP("buildings|NOx|Infant mortality", US_national_yearly!$D:$AM, 30, FALSE) / VLOOKUP("buildings|NOx|Infant mortality", US_national_yearly!$D:$AM, 10, FALSE), 1)</f>
        <v>5.5324142523411501E-7</v>
      </c>
      <c r="W3" s="7">
        <f>$B3 * IFERROR(VLOOKUP("buildings|NOx|Infant mortality", US_national_yearly!$D:$AM, 31, FALSE) / VLOOKUP("buildings|NOx|Infant mortality", US_national_yearly!$D:$AM, 10, FALSE), 1)</f>
        <v>5.4985042923317651E-7</v>
      </c>
      <c r="X3" s="7">
        <f>$B3 * IFERROR(VLOOKUP("buildings|NOx|Infant mortality", US_national_yearly!$D:$AM, 32, FALSE) / VLOOKUP("buildings|NOx|Infant mortality", US_national_yearly!$D:$AM, 10, FALSE), 1)</f>
        <v>5.4626245826329166E-7</v>
      </c>
      <c r="Y3" s="7">
        <f>$B3 * IFERROR(VLOOKUP("buildings|NOx|Infant mortality", US_national_yearly!$D:$AM, 33, FALSE) / VLOOKUP("buildings|NOx|Infant mortality", US_national_yearly!$D:$AM, 10, FALSE), 1)</f>
        <v>5.4267448729340692E-7</v>
      </c>
      <c r="Z3" s="7">
        <f>$B3 * IFERROR(VLOOKUP("buildings|NOx|Infant mortality", US_national_yearly!$D:$AM, 34, FALSE) / VLOOKUP("buildings|NOx|Infant mortality", US_national_yearly!$D:$AM, 10, FALSE), 1)</f>
        <v>5.3908651632352207E-7</v>
      </c>
      <c r="AA3" s="7">
        <f>$B3 * IFERROR(VLOOKUP("buildings|NOx|Infant mortality", US_national_yearly!$D:$AM, 35, FALSE) / VLOOKUP("buildings|NOx|Infant mortality", US_national_yearly!$D:$AM, 10, FALSE), 1)</f>
        <v>5.3549854535363733E-7</v>
      </c>
      <c r="AB3" s="7">
        <f>$B3 * IFERROR(VLOOKUP("buildings|NOx|Infant mortality", US_national_yearly!$D:$AM, 36, FALSE) / VLOOKUP("buildings|NOx|Infant mortality", US_national_yearly!$D:$AM, 10, FALSE), 1)</f>
        <v>5.3191057438375248E-7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2.9217417828887584E-3</v>
      </c>
      <c r="C6" s="7">
        <f>$B6 * IFERROR(VLOOKUP("buildings|NOx|Asthma symptoms cough", US_national_yearly!$D:$AM, 11, FALSE) / VLOOKUP("buildings|NOx|Asthma symptoms cough", US_national_yearly!$D:$AM, 10, FALSE), 1)</f>
        <v>2.9617266150160308E-3</v>
      </c>
      <c r="D6" s="7">
        <f>$B6 * IFERROR(VLOOKUP("buildings|NOx|Asthma symptoms cough", US_national_yearly!$D:$AM, 12, FALSE) / VLOOKUP("buildings|NOx|Asthma symptoms cough", US_national_yearly!$D:$AM, 10, FALSE), 1)</f>
        <v>3.0017114471433039E-3</v>
      </c>
      <c r="E6" s="7">
        <f>$B6 * IFERROR(VLOOKUP("buildings|NOx|Asthma symptoms cough", US_national_yearly!$D:$AM, 13, FALSE) / VLOOKUP("buildings|NOx|Asthma symptoms cough", US_national_yearly!$D:$AM, 10, FALSE), 1)</f>
        <v>3.0416962792705767E-3</v>
      </c>
      <c r="F6" s="7">
        <f>$B6 * IFERROR(VLOOKUP("buildings|NOx|Asthma symptoms cough", US_national_yearly!$D:$AM, 14, FALSE) / VLOOKUP("buildings|NOx|Asthma symptoms cough", US_national_yearly!$D:$AM, 10, FALSE), 1)</f>
        <v>3.081681111397849E-3</v>
      </c>
      <c r="G6" s="7">
        <f>$B6 * IFERROR(VLOOKUP("buildings|NOx|Asthma symptoms cough", US_national_yearly!$D:$AM, 15, FALSE) / VLOOKUP("buildings|NOx|Asthma symptoms cough", US_national_yearly!$D:$AM, 10, FALSE), 1)</f>
        <v>3.1136364846099779E-3</v>
      </c>
      <c r="H6" s="7">
        <f>$B6 * IFERROR(VLOOKUP("buildings|NOx|Asthma symptoms cough", US_national_yearly!$D:$AM, 16, FALSE) / VLOOKUP("buildings|NOx|Asthma symptoms cough", US_national_yearly!$D:$AM, 10, FALSE), 1)</f>
        <v>3.1455918578221073E-3</v>
      </c>
      <c r="I6" s="7">
        <f>$B6 * IFERROR(VLOOKUP("buildings|NOx|Asthma symptoms cough", US_national_yearly!$D:$AM, 17, FALSE) / VLOOKUP("buildings|NOx|Asthma symptoms cough", US_national_yearly!$D:$AM, 10, FALSE), 1)</f>
        <v>3.1566506686934652E-3</v>
      </c>
      <c r="J6" s="7">
        <f>$B6 * IFERROR(VLOOKUP("buildings|NOx|Asthma symptoms cough", US_national_yearly!$D:$AM, 18, FALSE) / VLOOKUP("buildings|NOx|Asthma symptoms cough", US_national_yearly!$D:$AM, 10, FALSE), 1)</f>
        <v>3.1677094795648231E-3</v>
      </c>
      <c r="K6" s="7">
        <f>$B6 * IFERROR(VLOOKUP("buildings|NOx|Asthma symptoms cough", US_national_yearly!$D:$AM, 19, FALSE) / VLOOKUP("buildings|NOx|Asthma symptoms cough", US_national_yearly!$D:$AM, 10, FALSE), 1)</f>
        <v>3.1787682904361801E-3</v>
      </c>
      <c r="L6" s="7">
        <f>$B6 * IFERROR(VLOOKUP("buildings|NOx|Asthma symptoms cough", US_national_yearly!$D:$AM, 20, FALSE) / VLOOKUP("buildings|NOx|Asthma symptoms cough", US_national_yearly!$D:$AM, 10, FALSE), 1)</f>
        <v>3.189827101307538E-3</v>
      </c>
      <c r="M6" s="7">
        <f>$B6 * IFERROR(VLOOKUP("buildings|NOx|Asthma symptoms cough", US_national_yearly!$D:$AM, 21, FALSE) / VLOOKUP("buildings|NOx|Asthma symptoms cough", US_national_yearly!$D:$AM, 10, FALSE), 1)</f>
        <v>3.2008859121788955E-3</v>
      </c>
      <c r="N6" s="7">
        <f>$B6 * IFERROR(VLOOKUP("buildings|NOx|Asthma symptoms cough", US_national_yearly!$D:$AM, 22, FALSE) / VLOOKUP("buildings|NOx|Asthma symptoms cough", US_national_yearly!$D:$AM, 10, FALSE), 1)</f>
        <v>3.2136733513076754E-3</v>
      </c>
      <c r="O6" s="7">
        <f>$B6 * IFERROR(VLOOKUP("buildings|NOx|Asthma symptoms cough", US_national_yearly!$D:$AM, 23, FALSE) / VLOOKUP("buildings|NOx|Asthma symptoms cough", US_national_yearly!$D:$AM, 10, FALSE), 1)</f>
        <v>3.226460790436455E-3</v>
      </c>
      <c r="P6" s="7">
        <f>$B6 * IFERROR(VLOOKUP("buildings|NOx|Asthma symptoms cough", US_national_yearly!$D:$AM, 24, FALSE) / VLOOKUP("buildings|NOx|Asthma symptoms cough", US_national_yearly!$D:$AM, 10, FALSE), 1)</f>
        <v>3.2392482295652346E-3</v>
      </c>
      <c r="Q6" s="7">
        <f>$B6 * IFERROR(VLOOKUP("buildings|NOx|Asthma symptoms cough", US_national_yearly!$D:$AM, 25, FALSE) / VLOOKUP("buildings|NOx|Asthma symptoms cough", US_national_yearly!$D:$AM, 10, FALSE), 1)</f>
        <v>3.2520356686940146E-3</v>
      </c>
      <c r="R6" s="7">
        <f>$B6 * IFERROR(VLOOKUP("buildings|NOx|Asthma symptoms cough", US_national_yearly!$D:$AM, 26, FALSE) / VLOOKUP("buildings|NOx|Asthma symptoms cough", US_national_yearly!$D:$AM, 10, FALSE), 1)</f>
        <v>3.2648231078227941E-3</v>
      </c>
      <c r="S6" s="7">
        <f>$B6 * IFERROR(VLOOKUP("buildings|NOx|Asthma symptoms cough", US_national_yearly!$D:$AM, 27, FALSE) / VLOOKUP("buildings|NOx|Asthma symptoms cough", US_national_yearly!$D:$AM, 10, FALSE), 1)</f>
        <v>3.2815237743258128E-3</v>
      </c>
      <c r="T6" s="7">
        <f>$B6 * IFERROR(VLOOKUP("buildings|NOx|Asthma symptoms cough", US_national_yearly!$D:$AM, 28, FALSE) / VLOOKUP("buildings|NOx|Asthma symptoms cough", US_national_yearly!$D:$AM, 10, FALSE), 1)</f>
        <v>3.2982244408288311E-3</v>
      </c>
      <c r="U6" s="7">
        <f>$B6 * IFERROR(VLOOKUP("buildings|NOx|Asthma symptoms cough", US_national_yearly!$D:$AM, 29, FALSE) / VLOOKUP("buildings|NOx|Asthma symptoms cough", US_national_yearly!$D:$AM, 10, FALSE), 1)</f>
        <v>3.314925107331849E-3</v>
      </c>
      <c r="V6" s="7">
        <f>$B6 * IFERROR(VLOOKUP("buildings|NOx|Asthma symptoms cough", US_national_yearly!$D:$AM, 30, FALSE) / VLOOKUP("buildings|NOx|Asthma symptoms cough", US_national_yearly!$D:$AM, 10, FALSE), 1)</f>
        <v>3.3316257738348685E-3</v>
      </c>
      <c r="W6" s="7">
        <f>$B6 * IFERROR(VLOOKUP("buildings|NOx|Asthma symptoms cough", US_national_yearly!$D:$AM, 31, FALSE) / VLOOKUP("buildings|NOx|Asthma symptoms cough", US_national_yearly!$D:$AM, 10, FALSE), 1)</f>
        <v>3.3483264403378868E-3</v>
      </c>
      <c r="X6" s="7">
        <f>$B6 * IFERROR(VLOOKUP("buildings|NOx|Asthma symptoms cough", US_national_yearly!$D:$AM, 32, FALSE) / VLOOKUP("buildings|NOx|Asthma symptoms cough", US_national_yearly!$D:$AM, 10, FALSE), 1)</f>
        <v>3.3638436575753961E-3</v>
      </c>
      <c r="Y6" s="7">
        <f>$B6 * IFERROR(VLOOKUP("buildings|NOx|Asthma symptoms cough", US_national_yearly!$D:$AM, 33, FALSE) / VLOOKUP("buildings|NOx|Asthma symptoms cough", US_national_yearly!$D:$AM, 10, FALSE), 1)</f>
        <v>3.3793608748129062E-3</v>
      </c>
      <c r="Z6" s="7">
        <f>$B6 * IFERROR(VLOOKUP("buildings|NOx|Asthma symptoms cough", US_national_yearly!$D:$AM, 34, FALSE) / VLOOKUP("buildings|NOx|Asthma symptoms cough", US_national_yearly!$D:$AM, 10, FALSE), 1)</f>
        <v>3.3948780920504164E-3</v>
      </c>
      <c r="AA6" s="7">
        <f>$B6 * IFERROR(VLOOKUP("buildings|NOx|Asthma symptoms cough", US_national_yearly!$D:$AM, 35, FALSE) / VLOOKUP("buildings|NOx|Asthma symptoms cough", US_national_yearly!$D:$AM, 10, FALSE), 1)</f>
        <v>3.4103953092879265E-3</v>
      </c>
      <c r="AB6" s="7">
        <f>$B6 * IFERROR(VLOOKUP("buildings|NOx|Asthma symptoms cough", US_national_yearly!$D:$AM, 36, FALSE) / VLOOKUP("buildings|NOx|Asthma symptoms cough", US_national_yearly!$D:$AM, 10, FALSE), 1)</f>
        <v>3.4259125265254362E-3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3.9345095571853396E-3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3.9883543920564962E-3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4.0421992269276518E-3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4.0960440617988083E-3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4.1498888966699649E-3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4.1929210090719581E-3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4.2359531214739522E-3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4.2508452644821667E-3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4.2657374074903803E-3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4.2806295504985957E-3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4.2955216935068102E-3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4.3104138365150247E-3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4.3276338048371448E-3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4.3448537731592659E-3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4.362073741481386E-3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4.3792937098035062E-3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4.3965136781256263E-3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4.4190033218066424E-3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4.4414929654876586E-3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4.4639826091686747E-3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4.48647225284969E-3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4.5089618965307061E-3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4.5298578701322458E-3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4.5507538437337845E-3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4.5716498173353241E-3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4.592545790936862E-3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4.6134417645384016E-3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6.0114054314067142E-3</v>
      </c>
      <c r="C8" s="7">
        <f>$B8 * IFERROR(VLOOKUP("buildings|NOx|Asthma symptoms wheeze", US_national_yearly!$D:$AM, 11, FALSE) / VLOOKUP("buildings|NOx|Asthma symptoms wheeze", US_national_yearly!$D:$AM, 10, FALSE), 1)</f>
        <v>6.093673152163707E-3</v>
      </c>
      <c r="D8" s="7">
        <f>$B8 * IFERROR(VLOOKUP("buildings|NOx|Asthma symptoms wheeze", US_national_yearly!$D:$AM, 12, FALSE) / VLOOKUP("buildings|NOx|Asthma symptoms wheeze", US_national_yearly!$D:$AM, 10, FALSE), 1)</f>
        <v>6.1759408729207006E-3</v>
      </c>
      <c r="E8" s="7">
        <f>$B8 * IFERROR(VLOOKUP("buildings|NOx|Asthma symptoms wheeze", US_national_yearly!$D:$AM, 13, FALSE) / VLOOKUP("buildings|NOx|Asthma symptoms wheeze", US_national_yearly!$D:$AM, 10, FALSE), 1)</f>
        <v>6.2582085936776916E-3</v>
      </c>
      <c r="F8" s="7">
        <f>$B8 * IFERROR(VLOOKUP("buildings|NOx|Asthma symptoms wheeze", US_national_yearly!$D:$AM, 14, FALSE) / VLOOKUP("buildings|NOx|Asthma symptoms wheeze", US_national_yearly!$D:$AM, 10, FALSE), 1)</f>
        <v>6.340476314434686E-3</v>
      </c>
      <c r="G8" s="7">
        <f>$B8 * IFERROR(VLOOKUP("buildings|NOx|Asthma symptoms wheeze", US_national_yearly!$D:$AM, 15, FALSE) / VLOOKUP("buildings|NOx|Asthma symptoms wheeze", US_national_yearly!$D:$AM, 10, FALSE), 1)</f>
        <v>6.4062236386146368E-3</v>
      </c>
      <c r="H8" s="7">
        <f>$B8 * IFERROR(VLOOKUP("buildings|NOx|Asthma symptoms wheeze", US_national_yearly!$D:$AM, 16, FALSE) / VLOOKUP("buildings|NOx|Asthma symptoms wheeze", US_national_yearly!$D:$AM, 10, FALSE), 1)</f>
        <v>6.4719709627945859E-3</v>
      </c>
      <c r="I8" s="7">
        <f>$B8 * IFERROR(VLOOKUP("buildings|NOx|Asthma symptoms wheeze", US_national_yearly!$D:$AM, 17, FALSE) / VLOOKUP("buildings|NOx|Asthma symptoms wheeze", US_national_yearly!$D:$AM, 10, FALSE), 1)</f>
        <v>6.4947241698589944E-3</v>
      </c>
      <c r="J8" s="7">
        <f>$B8 * IFERROR(VLOOKUP("buildings|NOx|Asthma symptoms wheeze", US_national_yearly!$D:$AM, 18, FALSE) / VLOOKUP("buildings|NOx|Asthma symptoms wheeze", US_national_yearly!$D:$AM, 10, FALSE), 1)</f>
        <v>6.5174773769234012E-3</v>
      </c>
      <c r="K8" s="7">
        <f>$B8 * IFERROR(VLOOKUP("buildings|NOx|Asthma symptoms wheeze", US_national_yearly!$D:$AM, 19, FALSE) / VLOOKUP("buildings|NOx|Asthma symptoms wheeze", US_national_yearly!$D:$AM, 10, FALSE), 1)</f>
        <v>6.5402305839878088E-3</v>
      </c>
      <c r="L8" s="7">
        <f>$B8 * IFERROR(VLOOKUP("buildings|NOx|Asthma symptoms wheeze", US_national_yearly!$D:$AM, 20, FALSE) / VLOOKUP("buildings|NOx|Asthma symptoms wheeze", US_national_yearly!$D:$AM, 10, FALSE), 1)</f>
        <v>6.5629837910522156E-3</v>
      </c>
      <c r="M8" s="7">
        <f>$B8 * IFERROR(VLOOKUP("buildings|NOx|Asthma symptoms wheeze", US_national_yearly!$D:$AM, 21, FALSE) / VLOOKUP("buildings|NOx|Asthma symptoms wheeze", US_national_yearly!$D:$AM, 10, FALSE), 1)</f>
        <v>6.5857369981166241E-3</v>
      </c>
      <c r="N8" s="7">
        <f>$B8 * IFERROR(VLOOKUP("buildings|NOx|Asthma symptoms wheeze", US_national_yearly!$D:$AM, 22, FALSE) / VLOOKUP("buildings|NOx|Asthma symptoms wheeze", US_national_yearly!$D:$AM, 10, FALSE), 1)</f>
        <v>6.6120468115057809E-3</v>
      </c>
      <c r="O8" s="7">
        <f>$B8 * IFERROR(VLOOKUP("buildings|NOx|Asthma symptoms wheeze", US_national_yearly!$D:$AM, 23, FALSE) / VLOOKUP("buildings|NOx|Asthma symptoms wheeze", US_national_yearly!$D:$AM, 10, FALSE), 1)</f>
        <v>6.6383566248949385E-3</v>
      </c>
      <c r="P8" s="7">
        <f>$B8 * IFERROR(VLOOKUP("buildings|NOx|Asthma symptoms wheeze", US_national_yearly!$D:$AM, 24, FALSE) / VLOOKUP("buildings|NOx|Asthma symptoms wheeze", US_national_yearly!$D:$AM, 10, FALSE), 1)</f>
        <v>6.6646664382840953E-3</v>
      </c>
      <c r="Q8" s="7">
        <f>$B8 * IFERROR(VLOOKUP("buildings|NOx|Asthma symptoms wheeze", US_national_yearly!$D:$AM, 25, FALSE) / VLOOKUP("buildings|NOx|Asthma symptoms wheeze", US_national_yearly!$D:$AM, 10, FALSE), 1)</f>
        <v>6.6909762516732529E-3</v>
      </c>
      <c r="R8" s="7">
        <f>$B8 * IFERROR(VLOOKUP("buildings|NOx|Asthma symptoms wheeze", US_national_yearly!$D:$AM, 26, FALSE) / VLOOKUP("buildings|NOx|Asthma symptoms wheeze", US_national_yearly!$D:$AM, 10, FALSE), 1)</f>
        <v>6.7172860650624097E-3</v>
      </c>
      <c r="S8" s="7">
        <f>$B8 * IFERROR(VLOOKUP("buildings|NOx|Asthma symptoms wheeze", US_national_yearly!$D:$AM, 27, FALSE) / VLOOKUP("buildings|NOx|Asthma symptoms wheeze", US_national_yearly!$D:$AM, 10, FALSE), 1)</f>
        <v>6.7516472389337135E-3</v>
      </c>
      <c r="T8" s="7">
        <f>$B8 * IFERROR(VLOOKUP("buildings|NOx|Asthma symptoms wheeze", US_national_yearly!$D:$AM, 28, FALSE) / VLOOKUP("buildings|NOx|Asthma symptoms wheeze", US_national_yearly!$D:$AM, 10, FALSE), 1)</f>
        <v>6.7860084128050181E-3</v>
      </c>
      <c r="U8" s="7">
        <f>$B8 * IFERROR(VLOOKUP("buildings|NOx|Asthma symptoms wheeze", US_national_yearly!$D:$AM, 29, FALSE) / VLOOKUP("buildings|NOx|Asthma symptoms wheeze", US_national_yearly!$D:$AM, 10, FALSE), 1)</f>
        <v>6.8203695866763218E-3</v>
      </c>
      <c r="V8" s="7">
        <f>$B8 * IFERROR(VLOOKUP("buildings|NOx|Asthma symptoms wheeze", US_national_yearly!$D:$AM, 30, FALSE) / VLOOKUP("buildings|NOx|Asthma symptoms wheeze", US_national_yearly!$D:$AM, 10, FALSE), 1)</f>
        <v>6.8547307605476256E-3</v>
      </c>
      <c r="W8" s="7">
        <f>$B8 * IFERROR(VLOOKUP("buildings|NOx|Asthma symptoms wheeze", US_national_yearly!$D:$AM, 31, FALSE) / VLOOKUP("buildings|NOx|Asthma symptoms wheeze", US_national_yearly!$D:$AM, 10, FALSE), 1)</f>
        <v>6.8890919344189293E-3</v>
      </c>
      <c r="X8" s="7">
        <f>$B8 * IFERROR(VLOOKUP("buildings|NOx|Asthma symptoms wheeze", US_national_yearly!$D:$AM, 32, FALSE) / VLOOKUP("buildings|NOx|Asthma symptoms wheeze", US_national_yearly!$D:$AM, 10, FALSE), 1)</f>
        <v>6.9210181931360845E-3</v>
      </c>
      <c r="Y8" s="7">
        <f>$B8 * IFERROR(VLOOKUP("buildings|NOx|Asthma symptoms wheeze", US_national_yearly!$D:$AM, 33, FALSE) / VLOOKUP("buildings|NOx|Asthma symptoms wheeze", US_national_yearly!$D:$AM, 10, FALSE), 1)</f>
        <v>6.9529444518532388E-3</v>
      </c>
      <c r="Z8" s="7">
        <f>$B8 * IFERROR(VLOOKUP("buildings|NOx|Asthma symptoms wheeze", US_national_yearly!$D:$AM, 34, FALSE) / VLOOKUP("buildings|NOx|Asthma symptoms wheeze", US_national_yearly!$D:$AM, 10, FALSE), 1)</f>
        <v>6.9848707105703957E-3</v>
      </c>
      <c r="AA8" s="7">
        <f>$B8 * IFERROR(VLOOKUP("buildings|NOx|Asthma symptoms wheeze", US_national_yearly!$D:$AM, 35, FALSE) / VLOOKUP("buildings|NOx|Asthma symptoms wheeze", US_national_yearly!$D:$AM, 10, FALSE), 1)</f>
        <v>7.01679696928755E-3</v>
      </c>
      <c r="AB8" s="7">
        <f>$B8 * IFERROR(VLOOKUP("buildings|NOx|Asthma symptoms wheeze", US_national_yearly!$D:$AM, 36, FALSE) / VLOOKUP("buildings|NOx|Asthma symptoms wheeze", US_national_yearly!$D:$AM, 10, FALSE), 1)</f>
        <v>7.0487232280047061E-3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9.6579282355133142E-5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9.8992252995525317E-5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1.0140522363591748E-4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1.0381819427630965E-4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1.0623116491670182E-4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1.0853803827508954E-4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1.1084491163347723E-4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1.1280454620087892E-4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1.1476418076828062E-4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1.1672381533568231E-4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1.1868344990308401E-4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1.206430844704857E-4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1.219530893964783E-4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1.232630943224709E-4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1.2457309924846348E-4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1.2588310417445609E-4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1.2719310910044865E-4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1.2789549407001878E-4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1.2859787903958888E-4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1.2930026400915902E-4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1.3000264897872912E-4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1.3070503394829923E-4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1.3118584960170903E-4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1.316666652551188E-4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1.321474809085286E-4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1.3262829656193837E-4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1.3310911221534817E-4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5.6134603263437958E-4</v>
      </c>
      <c r="C13" s="7">
        <f>$B13 * IFERROR(VLOOKUP("buildings|NOx|Non-fatal heart attacks", US_national_yearly!$D:$AM, 11, FALSE) / VLOOKUP("buildings|NOx|Non-fatal heart attacks", US_national_yearly!$D:$AM, 10, FALSE), 1)</f>
        <v>5.7740499812037346E-4</v>
      </c>
      <c r="D13" s="7">
        <f>$B13 * IFERROR(VLOOKUP("buildings|NOx|Non-fatal heart attacks", US_national_yearly!$D:$AM, 12, FALSE) / VLOOKUP("buildings|NOx|Non-fatal heart attacks", US_national_yearly!$D:$AM, 10, FALSE), 1)</f>
        <v>5.9346396360636768E-4</v>
      </c>
      <c r="E13" s="7">
        <f>$B13 * IFERROR(VLOOKUP("buildings|NOx|Non-fatal heart attacks", US_national_yearly!$D:$AM, 13, FALSE) / VLOOKUP("buildings|NOx|Non-fatal heart attacks", US_national_yearly!$D:$AM, 10, FALSE), 1)</f>
        <v>6.0952292909236157E-4</v>
      </c>
      <c r="F13" s="7">
        <f>$B13 * IFERROR(VLOOKUP("buildings|NOx|Non-fatal heart attacks", US_national_yearly!$D:$AM, 14, FALSE) / VLOOKUP("buildings|NOx|Non-fatal heart attacks", US_national_yearly!$D:$AM, 10, FALSE), 1)</f>
        <v>6.2558189457835546E-4</v>
      </c>
      <c r="G13" s="7">
        <f>$B13 * IFERROR(VLOOKUP("buildings|NOx|Non-fatal heart attacks", US_national_yearly!$D:$AM, 15, FALSE) / VLOOKUP("buildings|NOx|Non-fatal heart attacks", US_national_yearly!$D:$AM, 10, FALSE), 1)</f>
        <v>6.4059215560475526E-4</v>
      </c>
      <c r="H13" s="7">
        <f>$B13 * IFERROR(VLOOKUP("buildings|NOx|Non-fatal heart attacks", US_national_yearly!$D:$AM, 16, FALSE) / VLOOKUP("buildings|NOx|Non-fatal heart attacks", US_national_yearly!$D:$AM, 10, FALSE), 1)</f>
        <v>6.5560241663115517E-4</v>
      </c>
      <c r="I13" s="7">
        <f>$B13 * IFERROR(VLOOKUP("buildings|NOx|Non-fatal heart attacks", US_national_yearly!$D:$AM, 17, FALSE) / VLOOKUP("buildings|NOx|Non-fatal heart attacks", US_national_yearly!$D:$AM, 10, FALSE), 1)</f>
        <v>6.6744443357513391E-4</v>
      </c>
      <c r="J13" s="7">
        <f>$B13 * IFERROR(VLOOKUP("buildings|NOx|Non-fatal heart attacks", US_national_yearly!$D:$AM, 18, FALSE) / VLOOKUP("buildings|NOx|Non-fatal heart attacks", US_national_yearly!$D:$AM, 10, FALSE), 1)</f>
        <v>6.7928645051911266E-4</v>
      </c>
      <c r="K13" s="7">
        <f>$B13 * IFERROR(VLOOKUP("buildings|NOx|Non-fatal heart attacks", US_national_yearly!$D:$AM, 19, FALSE) / VLOOKUP("buildings|NOx|Non-fatal heart attacks", US_national_yearly!$D:$AM, 10, FALSE), 1)</f>
        <v>6.9112846746309162E-4</v>
      </c>
      <c r="L13" s="7">
        <f>$B13 * IFERROR(VLOOKUP("buildings|NOx|Non-fatal heart attacks", US_national_yearly!$D:$AM, 20, FALSE) / VLOOKUP("buildings|NOx|Non-fatal heart attacks", US_national_yearly!$D:$AM, 10, FALSE), 1)</f>
        <v>7.0297048440706993E-4</v>
      </c>
      <c r="M13" s="7">
        <f>$B13 * IFERROR(VLOOKUP("buildings|NOx|Non-fatal heart attacks", US_national_yearly!$D:$AM, 21, FALSE) / VLOOKUP("buildings|NOx|Non-fatal heart attacks", US_national_yearly!$D:$AM, 10, FALSE), 1)</f>
        <v>7.14812501351049E-4</v>
      </c>
      <c r="N13" s="7">
        <f>$B13 * IFERROR(VLOOKUP("buildings|NOx|Non-fatal heart attacks", US_national_yearly!$D:$AM, 22, FALSE) / VLOOKUP("buildings|NOx|Non-fatal heart attacks", US_national_yearly!$D:$AM, 10, FALSE), 1)</f>
        <v>7.2193938612718253E-4</v>
      </c>
      <c r="O13" s="7">
        <f>$B13 * IFERROR(VLOOKUP("buildings|NOx|Non-fatal heart attacks", US_national_yearly!$D:$AM, 23, FALSE) / VLOOKUP("buildings|NOx|Non-fatal heart attacks", US_national_yearly!$D:$AM, 10, FALSE), 1)</f>
        <v>7.2906627090331595E-4</v>
      </c>
      <c r="P13" s="7">
        <f>$B13 * IFERROR(VLOOKUP("buildings|NOx|Non-fatal heart attacks", US_national_yearly!$D:$AM, 24, FALSE) / VLOOKUP("buildings|NOx|Non-fatal heart attacks", US_national_yearly!$D:$AM, 10, FALSE), 1)</f>
        <v>7.3619315567944948E-4</v>
      </c>
      <c r="Q13" s="7">
        <f>$B13 * IFERROR(VLOOKUP("buildings|NOx|Non-fatal heart attacks", US_national_yearly!$D:$AM, 25, FALSE) / VLOOKUP("buildings|NOx|Non-fatal heart attacks", US_national_yearly!$D:$AM, 10, FALSE), 1)</f>
        <v>7.4332004045558301E-4</v>
      </c>
      <c r="R13" s="7">
        <f>$B13 * IFERROR(VLOOKUP("buildings|NOx|Non-fatal heart attacks", US_national_yearly!$D:$AM, 26, FALSE) / VLOOKUP("buildings|NOx|Non-fatal heart attacks", US_national_yearly!$D:$AM, 10, FALSE), 1)</f>
        <v>7.5044692523171643E-4</v>
      </c>
      <c r="S13" s="7">
        <f>$B13 * IFERROR(VLOOKUP("buildings|NOx|Non-fatal heart attacks", US_national_yearly!$D:$AM, 27, FALSE) / VLOOKUP("buildings|NOx|Non-fatal heart attacks", US_national_yearly!$D:$AM, 10, FALSE), 1)</f>
        <v>7.5368566126278122E-4</v>
      </c>
      <c r="T13" s="7">
        <f>$B13 * IFERROR(VLOOKUP("buildings|NOx|Non-fatal heart attacks", US_national_yearly!$D:$AM, 28, FALSE) / VLOOKUP("buildings|NOx|Non-fatal heart attacks", US_national_yearly!$D:$AM, 10, FALSE), 1)</f>
        <v>7.5692439729384622E-4</v>
      </c>
      <c r="U13" s="7">
        <f>$B13 * IFERROR(VLOOKUP("buildings|NOx|Non-fatal heart attacks", US_national_yearly!$D:$AM, 29, FALSE) / VLOOKUP("buildings|NOx|Non-fatal heart attacks", US_national_yearly!$D:$AM, 10, FALSE), 1)</f>
        <v>7.6016313332491101E-4</v>
      </c>
      <c r="V13" s="7">
        <f>$B13 * IFERROR(VLOOKUP("buildings|NOx|Non-fatal heart attacks", US_national_yearly!$D:$AM, 30, FALSE) / VLOOKUP("buildings|NOx|Non-fatal heart attacks", US_national_yearly!$D:$AM, 10, FALSE), 1)</f>
        <v>7.634018693559758E-4</v>
      </c>
      <c r="W13" s="7">
        <f>$B13 * IFERROR(VLOOKUP("buildings|NOx|Non-fatal heart attacks", US_national_yearly!$D:$AM, 31, FALSE) / VLOOKUP("buildings|NOx|Non-fatal heart attacks", US_national_yearly!$D:$AM, 10, FALSE), 1)</f>
        <v>7.666406053870407E-4</v>
      </c>
      <c r="X13" s="7">
        <f>$B13 * IFERROR(VLOOKUP("buildings|NOx|Non-fatal heart attacks", US_national_yearly!$D:$AM, 32, FALSE) / VLOOKUP("buildings|NOx|Non-fatal heart attacks", US_national_yearly!$D:$AM, 10, FALSE), 1)</f>
        <v>7.6880705605669416E-4</v>
      </c>
      <c r="Y13" s="7">
        <f>$B13 * IFERROR(VLOOKUP("buildings|NOx|Non-fatal heart attacks", US_national_yearly!$D:$AM, 33, FALSE) / VLOOKUP("buildings|NOx|Non-fatal heart attacks", US_national_yearly!$D:$AM, 10, FALSE), 1)</f>
        <v>7.7097350672634762E-4</v>
      </c>
      <c r="Z13" s="7">
        <f>$B13 * IFERROR(VLOOKUP("buildings|NOx|Non-fatal heart attacks", US_national_yearly!$D:$AM, 34, FALSE) / VLOOKUP("buildings|NOx|Non-fatal heart attacks", US_national_yearly!$D:$AM, 10, FALSE), 1)</f>
        <v>7.7313995739600118E-4</v>
      </c>
      <c r="AA13" s="7">
        <f>$B13 * IFERROR(VLOOKUP("buildings|NOx|Non-fatal heart attacks", US_national_yearly!$D:$AM, 35, FALSE) / VLOOKUP("buildings|NOx|Non-fatal heart attacks", US_national_yearly!$D:$AM, 10, FALSE), 1)</f>
        <v>7.7530640806565453E-4</v>
      </c>
      <c r="AB13" s="7">
        <f>$B13 * IFERROR(VLOOKUP("buildings|NOx|Non-fatal heart attacks", US_national_yearly!$D:$AM, 36, FALSE) / VLOOKUP("buildings|NOx|Non-fatal heart attacks", US_national_yearly!$D:$AM, 10, FALSE), 1)</f>
        <v>7.7747285873530799E-4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0.42584554727880769</v>
      </c>
      <c r="C14" s="7">
        <f>$B14 * IFERROR(VLOOKUP("buildings|NOx|Minor restricted activity days", US_national_yearly!$D:$AM, 11, FALSE) / VLOOKUP("buildings|NOx|Minor restricted activity days", US_national_yearly!$D:$AM, 10, FALSE), 1)</f>
        <v>0.4265063588587325</v>
      </c>
      <c r="D14" s="7">
        <f>$B14 * IFERROR(VLOOKUP("buildings|NOx|Minor restricted activity days", US_national_yearly!$D:$AM, 12, FALSE) / VLOOKUP("buildings|NOx|Minor restricted activity days", US_national_yearly!$D:$AM, 10, FALSE), 1)</f>
        <v>0.42716717043865732</v>
      </c>
      <c r="E14" s="7">
        <f>$B14 * IFERROR(VLOOKUP("buildings|NOx|Minor restricted activity days", US_national_yearly!$D:$AM, 13, FALSE) / VLOOKUP("buildings|NOx|Minor restricted activity days", US_national_yearly!$D:$AM, 10, FALSE), 1)</f>
        <v>0.42782798201858213</v>
      </c>
      <c r="F14" s="7">
        <f>$B14 * IFERROR(VLOOKUP("buildings|NOx|Minor restricted activity days", US_national_yearly!$D:$AM, 14, FALSE) / VLOOKUP("buildings|NOx|Minor restricted activity days", US_national_yearly!$D:$AM, 10, FALSE), 1)</f>
        <v>0.42848879359850695</v>
      </c>
      <c r="G14" s="7">
        <f>$B14 * IFERROR(VLOOKUP("buildings|NOx|Minor restricted activity days", US_national_yearly!$D:$AM, 15, FALSE) / VLOOKUP("buildings|NOx|Minor restricted activity days", US_national_yearly!$D:$AM, 10, FALSE), 1)</f>
        <v>0.42967594274855991</v>
      </c>
      <c r="H14" s="7">
        <f>$B14 * IFERROR(VLOOKUP("buildings|NOx|Minor restricted activity days", US_national_yearly!$D:$AM, 16, FALSE) / VLOOKUP("buildings|NOx|Minor restricted activity days", US_national_yearly!$D:$AM, 10, FALSE), 1)</f>
        <v>0.43086309189861288</v>
      </c>
      <c r="I14" s="7">
        <f>$B14 * IFERROR(VLOOKUP("buildings|NOx|Minor restricted activity days", US_national_yearly!$D:$AM, 17, FALSE) / VLOOKUP("buildings|NOx|Minor restricted activity days", US_national_yearly!$D:$AM, 10, FALSE), 1)</f>
        <v>0.43317769404585393</v>
      </c>
      <c r="J14" s="7">
        <f>$B14 * IFERROR(VLOOKUP("buildings|NOx|Minor restricted activity days", US_national_yearly!$D:$AM, 18, FALSE) / VLOOKUP("buildings|NOx|Minor restricted activity days", US_national_yearly!$D:$AM, 10, FALSE), 1)</f>
        <v>0.43549229619309504</v>
      </c>
      <c r="K14" s="7">
        <f>$B14 * IFERROR(VLOOKUP("buildings|NOx|Minor restricted activity days", US_national_yearly!$D:$AM, 19, FALSE) / VLOOKUP("buildings|NOx|Minor restricted activity days", US_national_yearly!$D:$AM, 10, FALSE), 1)</f>
        <v>0.43780689834033609</v>
      </c>
      <c r="L14" s="7">
        <f>$B14 * IFERROR(VLOOKUP("buildings|NOx|Minor restricted activity days", US_national_yearly!$D:$AM, 20, FALSE) / VLOOKUP("buildings|NOx|Minor restricted activity days", US_national_yearly!$D:$AM, 10, FALSE), 1)</f>
        <v>0.4401215004875772</v>
      </c>
      <c r="M14" s="7">
        <f>$B14 * IFERROR(VLOOKUP("buildings|NOx|Minor restricted activity days", US_national_yearly!$D:$AM, 21, FALSE) / VLOOKUP("buildings|NOx|Minor restricted activity days", US_national_yearly!$D:$AM, 10, FALSE), 1)</f>
        <v>0.44243610263481831</v>
      </c>
      <c r="N14" s="7">
        <f>$B14 * IFERROR(VLOOKUP("buildings|NOx|Minor restricted activity days", US_national_yearly!$D:$AM, 22, FALSE) / VLOOKUP("buildings|NOx|Minor restricted activity days", US_national_yearly!$D:$AM, 10, FALSE), 1)</f>
        <v>0.44574739164326532</v>
      </c>
      <c r="O14" s="7">
        <f>$B14 * IFERROR(VLOOKUP("buildings|NOx|Minor restricted activity days", US_national_yearly!$D:$AM, 23, FALSE) / VLOOKUP("buildings|NOx|Minor restricted activity days", US_national_yearly!$D:$AM, 10, FALSE), 1)</f>
        <v>0.44905868065171228</v>
      </c>
      <c r="P14" s="7">
        <f>$B14 * IFERROR(VLOOKUP("buildings|NOx|Minor restricted activity days", US_national_yearly!$D:$AM, 24, FALSE) / VLOOKUP("buildings|NOx|Minor restricted activity days", US_national_yearly!$D:$AM, 10, FALSE), 1)</f>
        <v>0.4523699696601593</v>
      </c>
      <c r="Q14" s="7">
        <f>$B14 * IFERROR(VLOOKUP("buildings|NOx|Minor restricted activity days", US_national_yearly!$D:$AM, 25, FALSE) / VLOOKUP("buildings|NOx|Minor restricted activity days", US_national_yearly!$D:$AM, 10, FALSE), 1)</f>
        <v>0.45568125866860626</v>
      </c>
      <c r="R14" s="7">
        <f>$B14 * IFERROR(VLOOKUP("buildings|NOx|Minor restricted activity days", US_national_yearly!$D:$AM, 26, FALSE) / VLOOKUP("buildings|NOx|Minor restricted activity days", US_national_yearly!$D:$AM, 10, FALSE), 1)</f>
        <v>0.45899254767705316</v>
      </c>
      <c r="S14" s="7">
        <f>$B14 * IFERROR(VLOOKUP("buildings|NOx|Minor restricted activity days", US_national_yearly!$D:$AM, 27, FALSE) / VLOOKUP("buildings|NOx|Minor restricted activity days", US_national_yearly!$D:$AM, 10, FALSE), 1)</f>
        <v>0.46230288345530052</v>
      </c>
      <c r="T14" s="7">
        <f>$B14 * IFERROR(VLOOKUP("buildings|NOx|Minor restricted activity days", US_national_yearly!$D:$AM, 28, FALSE) / VLOOKUP("buildings|NOx|Minor restricted activity days", US_national_yearly!$D:$AM, 10, FALSE), 1)</f>
        <v>0.46561321923354787</v>
      </c>
      <c r="U14" s="7">
        <f>$B14 * IFERROR(VLOOKUP("buildings|NOx|Minor restricted activity days", US_national_yearly!$D:$AM, 29, FALSE) / VLOOKUP("buildings|NOx|Minor restricted activity days", US_national_yearly!$D:$AM, 10, FALSE), 1)</f>
        <v>0.46892355501179528</v>
      </c>
      <c r="V14" s="7">
        <f>$B14 * IFERROR(VLOOKUP("buildings|NOx|Minor restricted activity days", US_national_yearly!$D:$AM, 30, FALSE) / VLOOKUP("buildings|NOx|Minor restricted activity days", US_national_yearly!$D:$AM, 10, FALSE), 1)</f>
        <v>0.47223389079004263</v>
      </c>
      <c r="W14" s="7">
        <f>$B14 * IFERROR(VLOOKUP("buildings|NOx|Minor restricted activity days", US_national_yearly!$D:$AM, 31, FALSE) / VLOOKUP("buildings|NOx|Minor restricted activity days", US_national_yearly!$D:$AM, 10, FALSE), 1)</f>
        <v>0.47554422656828998</v>
      </c>
      <c r="X14" s="7">
        <f>$B14 * IFERROR(VLOOKUP("buildings|NOx|Minor restricted activity days", US_national_yearly!$D:$AM, 32, FALSE) / VLOOKUP("buildings|NOx|Minor restricted activity days", US_national_yearly!$D:$AM, 10, FALSE), 1)</f>
        <v>0.47834391351423361</v>
      </c>
      <c r="Y14" s="7">
        <f>$B14 * IFERROR(VLOOKUP("buildings|NOx|Minor restricted activity days", US_national_yearly!$D:$AM, 33, FALSE) / VLOOKUP("buildings|NOx|Minor restricted activity days", US_national_yearly!$D:$AM, 10, FALSE), 1)</f>
        <v>0.48114360046017735</v>
      </c>
      <c r="Z14" s="7">
        <f>$B14 * IFERROR(VLOOKUP("buildings|NOx|Minor restricted activity days", US_national_yearly!$D:$AM, 34, FALSE) / VLOOKUP("buildings|NOx|Minor restricted activity days", US_national_yearly!$D:$AM, 10, FALSE), 1)</f>
        <v>0.48394328740612091</v>
      </c>
      <c r="AA14" s="7">
        <f>$B14 * IFERROR(VLOOKUP("buildings|NOx|Minor restricted activity days", US_national_yearly!$D:$AM, 35, FALSE) / VLOOKUP("buildings|NOx|Minor restricted activity days", US_national_yearly!$D:$AM, 10, FALSE), 1)</f>
        <v>0.48674297435206465</v>
      </c>
      <c r="AB14" s="7">
        <f>$B14 * IFERROR(VLOOKUP("buildings|NOx|Minor restricted activity days", US_national_yearly!$D:$AM, 36, FALSE) / VLOOKUP("buildings|NOx|Minor restricted activity days", US_national_yearly!$D:$AM, 10, FALSE), 1)</f>
        <v>0.48954266129800827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7.2343340016964977E-2</v>
      </c>
      <c r="C15" s="7">
        <f>$B15 * IFERROR(VLOOKUP("buildings|NOx|Work loss days", US_national_yearly!$D:$AM, 11, FALSE) / VLOOKUP("buildings|NOx|Work loss days", US_national_yearly!$D:$AM, 10, FALSE), 1)</f>
        <v>7.2505514618741954E-2</v>
      </c>
      <c r="D15" s="7">
        <f>$B15 * IFERROR(VLOOKUP("buildings|NOx|Work loss days", US_national_yearly!$D:$AM, 12, FALSE) / VLOOKUP("buildings|NOx|Work loss days", US_national_yearly!$D:$AM, 10, FALSE), 1)</f>
        <v>7.2667689220518902E-2</v>
      </c>
      <c r="E15" s="7">
        <f>$B15 * IFERROR(VLOOKUP("buildings|NOx|Work loss days", US_national_yearly!$D:$AM, 13, FALSE) / VLOOKUP("buildings|NOx|Work loss days", US_national_yearly!$D:$AM, 10, FALSE), 1)</f>
        <v>7.2829863822295865E-2</v>
      </c>
      <c r="F15" s="7">
        <f>$B15 * IFERROR(VLOOKUP("buildings|NOx|Work loss days", US_national_yearly!$D:$AM, 14, FALSE) / VLOOKUP("buildings|NOx|Work loss days", US_national_yearly!$D:$AM, 10, FALSE), 1)</f>
        <v>7.2992038424072841E-2</v>
      </c>
      <c r="G15" s="7">
        <f>$B15 * IFERROR(VLOOKUP("buildings|NOx|Work loss days", US_national_yearly!$D:$AM, 15, FALSE) / VLOOKUP("buildings|NOx|Work loss days", US_national_yearly!$D:$AM, 10, FALSE), 1)</f>
        <v>7.3228263913780733E-2</v>
      </c>
      <c r="H15" s="7">
        <f>$B15 * IFERROR(VLOOKUP("buildings|NOx|Work loss days", US_national_yearly!$D:$AM, 16, FALSE) / VLOOKUP("buildings|NOx|Work loss days", US_national_yearly!$D:$AM, 10, FALSE), 1)</f>
        <v>7.3464489403488625E-2</v>
      </c>
      <c r="I15" s="7">
        <f>$B15 * IFERROR(VLOOKUP("buildings|NOx|Work loss days", US_national_yearly!$D:$AM, 17, FALSE) / VLOOKUP("buildings|NOx|Work loss days", US_national_yearly!$D:$AM, 10, FALSE), 1)</f>
        <v>7.384653722295921E-2</v>
      </c>
      <c r="J15" s="7">
        <f>$B15 * IFERROR(VLOOKUP("buildings|NOx|Work loss days", US_national_yearly!$D:$AM, 18, FALSE) / VLOOKUP("buildings|NOx|Work loss days", US_national_yearly!$D:$AM, 10, FALSE), 1)</f>
        <v>7.4228585042429795E-2</v>
      </c>
      <c r="K15" s="7">
        <f>$B15 * IFERROR(VLOOKUP("buildings|NOx|Work loss days", US_national_yearly!$D:$AM, 19, FALSE) / VLOOKUP("buildings|NOx|Work loss days", US_national_yearly!$D:$AM, 10, FALSE), 1)</f>
        <v>7.4610632861900394E-2</v>
      </c>
      <c r="L15" s="7">
        <f>$B15 * IFERROR(VLOOKUP("buildings|NOx|Work loss days", US_national_yearly!$D:$AM, 20, FALSE) / VLOOKUP("buildings|NOx|Work loss days", US_national_yearly!$D:$AM, 10, FALSE), 1)</f>
        <v>7.499268068137098E-2</v>
      </c>
      <c r="M15" s="7">
        <f>$B15 * IFERROR(VLOOKUP("buildings|NOx|Work loss days", US_national_yearly!$D:$AM, 21, FALSE) / VLOOKUP("buildings|NOx|Work loss days", US_national_yearly!$D:$AM, 10, FALSE), 1)</f>
        <v>7.5374728500841565E-2</v>
      </c>
      <c r="N15" s="7">
        <f>$B15 * IFERROR(VLOOKUP("buildings|NOx|Work loss days", US_national_yearly!$D:$AM, 22, FALSE) / VLOOKUP("buildings|NOx|Work loss days", US_national_yearly!$D:$AM, 10, FALSE), 1)</f>
        <v>7.5871773344154514E-2</v>
      </c>
      <c r="O15" s="7">
        <f>$B15 * IFERROR(VLOOKUP("buildings|NOx|Work loss days", US_national_yearly!$D:$AM, 23, FALSE) / VLOOKUP("buildings|NOx|Work loss days", US_national_yearly!$D:$AM, 10, FALSE), 1)</f>
        <v>7.6368818187467449E-2</v>
      </c>
      <c r="P15" s="7">
        <f>$B15 * IFERROR(VLOOKUP("buildings|NOx|Work loss days", US_national_yearly!$D:$AM, 24, FALSE) / VLOOKUP("buildings|NOx|Work loss days", US_national_yearly!$D:$AM, 10, FALSE), 1)</f>
        <v>7.6865863030780399E-2</v>
      </c>
      <c r="Q15" s="7">
        <f>$B15 * IFERROR(VLOOKUP("buildings|NOx|Work loss days", US_national_yearly!$D:$AM, 25, FALSE) / VLOOKUP("buildings|NOx|Work loss days", US_national_yearly!$D:$AM, 10, FALSE), 1)</f>
        <v>7.7362907874093362E-2</v>
      </c>
      <c r="R15" s="7">
        <f>$B15 * IFERROR(VLOOKUP("buildings|NOx|Work loss days", US_national_yearly!$D:$AM, 26, FALSE) / VLOOKUP("buildings|NOx|Work loss days", US_national_yearly!$D:$AM, 10, FALSE), 1)</f>
        <v>7.7859952717406297E-2</v>
      </c>
      <c r="S15" s="7">
        <f>$B15 * IFERROR(VLOOKUP("buildings|NOx|Work loss days", US_national_yearly!$D:$AM, 27, FALSE) / VLOOKUP("buildings|NOx|Work loss days", US_national_yearly!$D:$AM, 10, FALSE), 1)</f>
        <v>7.841382208882855E-2</v>
      </c>
      <c r="T15" s="7">
        <f>$B15 * IFERROR(VLOOKUP("buildings|NOx|Work loss days", US_national_yearly!$D:$AM, 28, FALSE) / VLOOKUP("buildings|NOx|Work loss days", US_national_yearly!$D:$AM, 10, FALSE), 1)</f>
        <v>7.8967691460250802E-2</v>
      </c>
      <c r="U15" s="7">
        <f>$B15 * IFERROR(VLOOKUP("buildings|NOx|Work loss days", US_national_yearly!$D:$AM, 29, FALSE) / VLOOKUP("buildings|NOx|Work loss days", US_national_yearly!$D:$AM, 10, FALSE), 1)</f>
        <v>7.9521560831673041E-2</v>
      </c>
      <c r="V15" s="7">
        <f>$B15 * IFERROR(VLOOKUP("buildings|NOx|Work loss days", US_national_yearly!$D:$AM, 30, FALSE) / VLOOKUP("buildings|NOx|Work loss days", US_national_yearly!$D:$AM, 10, FALSE), 1)</f>
        <v>8.0075430203095294E-2</v>
      </c>
      <c r="W15" s="7">
        <f>$B15 * IFERROR(VLOOKUP("buildings|NOx|Work loss days", US_national_yearly!$D:$AM, 31, FALSE) / VLOOKUP("buildings|NOx|Work loss days", US_national_yearly!$D:$AM, 10, FALSE), 1)</f>
        <v>8.0629299574517532E-2</v>
      </c>
      <c r="X15" s="7">
        <f>$B15 * IFERROR(VLOOKUP("buildings|NOx|Work loss days", US_national_yearly!$D:$AM, 32, FALSE) / VLOOKUP("buildings|NOx|Work loss days", US_national_yearly!$D:$AM, 10, FALSE), 1)</f>
        <v>8.11101739128431E-2</v>
      </c>
      <c r="Y15" s="7">
        <f>$B15 * IFERROR(VLOOKUP("buildings|NOx|Work loss days", US_national_yearly!$D:$AM, 33, FALSE) / VLOOKUP("buildings|NOx|Work loss days", US_national_yearly!$D:$AM, 10, FALSE), 1)</f>
        <v>8.1591048251168669E-2</v>
      </c>
      <c r="Z15" s="7">
        <f>$B15 * IFERROR(VLOOKUP("buildings|NOx|Work loss days", US_national_yearly!$D:$AM, 34, FALSE) / VLOOKUP("buildings|NOx|Work loss days", US_national_yearly!$D:$AM, 10, FALSE), 1)</f>
        <v>8.2071922589494237E-2</v>
      </c>
      <c r="AA15" s="7">
        <f>$B15 * IFERROR(VLOOKUP("buildings|NOx|Work loss days", US_national_yearly!$D:$AM, 35, FALSE) / VLOOKUP("buildings|NOx|Work loss days", US_national_yearly!$D:$AM, 10, FALSE), 1)</f>
        <v>8.2552796927819805E-2</v>
      </c>
      <c r="AB15" s="7">
        <f>$B15 * IFERROR(VLOOKUP("buildings|NOx|Work loss days", US_national_yearly!$D:$AM, 36, FALSE) / VLOOKUP("buildings|NOx|Work loss days", US_national_yearly!$D:$AM, 10, FALSE), 1)</f>
        <v>8.3033671266145387E-2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1.2952000411987089E-4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1.3332790375003982E-4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1.371358033802088E-4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1.4094370301037773E-4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1.4475160264054669E-4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1.4836903803265377E-4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1.5198647342476082E-4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1.5503018815717459E-4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1.5807390288958835E-4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1.6111761762200208E-4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1.6416133235441581E-4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1.6720504708682952E-4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1.6910899462296749E-4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1.7101294215910538E-4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1.7291688969524332E-4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1.7482083723138127E-4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1.7672478476751918E-4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1.7759475256971666E-4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1.7846472037191414E-4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1.7933468817411165E-4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1.802046559763091E-4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1.8107462377850661E-4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1.8155953504753316E-4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1.8204444631655974E-4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1.8252935758558629E-4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1.830142688546129E-4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1.8349918012363945E-4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3.8506813663568666E-3</v>
      </c>
      <c r="C2" s="7">
        <f>$B2 * IFERROR(VLOOKUP("buildings|SO2|Premature mortality", US_national_yearly!$D:$AM, 11, FALSE) / VLOOKUP("buildings|SO2|Premature mortality", US_national_yearly!$D:$AM, 10, FALSE), 1)</f>
        <v>3.8994633837495414E-3</v>
      </c>
      <c r="D2" s="7">
        <f>$B2 * IFERROR(VLOOKUP("buildings|SO2|Premature mortality", US_national_yearly!$D:$AM, 12, FALSE) / VLOOKUP("buildings|SO2|Premature mortality", US_national_yearly!$D:$AM, 10, FALSE), 1)</f>
        <v>3.9482454011422153E-3</v>
      </c>
      <c r="E2" s="7">
        <f>$B2 * IFERROR(VLOOKUP("buildings|SO2|Premature mortality", US_national_yearly!$D:$AM, 13, FALSE) / VLOOKUP("buildings|SO2|Premature mortality", US_national_yearly!$D:$AM, 10, FALSE), 1)</f>
        <v>3.9970274185348901E-3</v>
      </c>
      <c r="F2" s="7">
        <f>$B2 * IFERROR(VLOOKUP("buildings|SO2|Premature mortality", US_national_yearly!$D:$AM, 14, FALSE) / VLOOKUP("buildings|SO2|Premature mortality", US_national_yearly!$D:$AM, 10, FALSE), 1)</f>
        <v>4.045809435927564E-3</v>
      </c>
      <c r="G2" s="7">
        <f>$B2 * IFERROR(VLOOKUP("buildings|SO2|Premature mortality", US_national_yearly!$D:$AM, 15, FALSE) / VLOOKUP("buildings|SO2|Premature mortality", US_national_yearly!$D:$AM, 10, FALSE), 1)</f>
        <v>4.1398024852230481E-3</v>
      </c>
      <c r="H2" s="7">
        <f>$B2 * IFERROR(VLOOKUP("buildings|SO2|Premature mortality", US_national_yearly!$D:$AM, 16, FALSE) / VLOOKUP("buildings|SO2|Premature mortality", US_national_yearly!$D:$AM, 10, FALSE), 1)</f>
        <v>4.2337955345185321E-3</v>
      </c>
      <c r="I2" s="7">
        <f>$B2 * IFERROR(VLOOKUP("buildings|SO2|Premature mortality", US_national_yearly!$D:$AM, 17, FALSE) / VLOOKUP("buildings|SO2|Premature mortality", US_national_yearly!$D:$AM, 10, FALSE), 1)</f>
        <v>4.2959431988323308E-3</v>
      </c>
      <c r="J2" s="7">
        <f>$B2 * IFERROR(VLOOKUP("buildings|SO2|Premature mortality", US_national_yearly!$D:$AM, 18, FALSE) / VLOOKUP("buildings|SO2|Premature mortality", US_national_yearly!$D:$AM, 10, FALSE), 1)</f>
        <v>4.3580908631461295E-3</v>
      </c>
      <c r="K2" s="7">
        <f>$B2 * IFERROR(VLOOKUP("buildings|SO2|Premature mortality", US_national_yearly!$D:$AM, 19, FALSE) / VLOOKUP("buildings|SO2|Premature mortality", US_national_yearly!$D:$AM, 10, FALSE), 1)</f>
        <v>4.4202385274599281E-3</v>
      </c>
      <c r="L2" s="7">
        <f>$B2 * IFERROR(VLOOKUP("buildings|SO2|Premature mortality", US_national_yearly!$D:$AM, 20, FALSE) / VLOOKUP("buildings|SO2|Premature mortality", US_national_yearly!$D:$AM, 10, FALSE), 1)</f>
        <v>4.4823861917737259E-3</v>
      </c>
      <c r="M2" s="7">
        <f>$B2 * IFERROR(VLOOKUP("buildings|SO2|Premature mortality", US_national_yearly!$D:$AM, 21, FALSE) / VLOOKUP("buildings|SO2|Premature mortality", US_national_yearly!$D:$AM, 10, FALSE), 1)</f>
        <v>4.5445338560875246E-3</v>
      </c>
      <c r="N2" s="7">
        <f>$B2 * IFERROR(VLOOKUP("buildings|SO2|Premature mortality", US_national_yearly!$D:$AM, 22, FALSE) / VLOOKUP("buildings|SO2|Premature mortality", US_national_yearly!$D:$AM, 10, FALSE), 1)</f>
        <v>4.5930814284678122E-3</v>
      </c>
      <c r="O2" s="7">
        <f>$B2 * IFERROR(VLOOKUP("buildings|SO2|Premature mortality", US_national_yearly!$D:$AM, 23, FALSE) / VLOOKUP("buildings|SO2|Premature mortality", US_national_yearly!$D:$AM, 10, FALSE), 1)</f>
        <v>4.6416290008480963E-3</v>
      </c>
      <c r="P2" s="7">
        <f>$B2 * IFERROR(VLOOKUP("buildings|SO2|Premature mortality", US_national_yearly!$D:$AM, 24, FALSE) / VLOOKUP("buildings|SO2|Premature mortality", US_national_yearly!$D:$AM, 10, FALSE), 1)</f>
        <v>4.6901765732283831E-3</v>
      </c>
      <c r="Q2" s="7">
        <f>$B2 * IFERROR(VLOOKUP("buildings|SO2|Premature mortality", US_national_yearly!$D:$AM, 25, FALSE) / VLOOKUP("buildings|SO2|Premature mortality", US_national_yearly!$D:$AM, 10, FALSE), 1)</f>
        <v>4.7387241456086681E-3</v>
      </c>
      <c r="R2" s="7">
        <f>$B2 * IFERROR(VLOOKUP("buildings|SO2|Premature mortality", US_national_yearly!$D:$AM, 26, FALSE) / VLOOKUP("buildings|SO2|Premature mortality", US_national_yearly!$D:$AM, 10, FALSE), 1)</f>
        <v>4.7872717179889539E-3</v>
      </c>
      <c r="S2" s="7">
        <f>$B2 * IFERROR(VLOOKUP("buildings|SO2|Premature mortality", US_national_yearly!$D:$AM, 27, FALSE) / VLOOKUP("buildings|SO2|Premature mortality", US_national_yearly!$D:$AM, 10, FALSE), 1)</f>
        <v>4.813254932884853E-3</v>
      </c>
      <c r="T2" s="7">
        <f>$B2 * IFERROR(VLOOKUP("buildings|SO2|Premature mortality", US_national_yearly!$D:$AM, 28, FALSE) / VLOOKUP("buildings|SO2|Premature mortality", US_national_yearly!$D:$AM, 10, FALSE), 1)</f>
        <v>4.839238147780753E-3</v>
      </c>
      <c r="U2" s="7">
        <f>$B2 * IFERROR(VLOOKUP("buildings|SO2|Premature mortality", US_national_yearly!$D:$AM, 29, FALSE) / VLOOKUP("buildings|SO2|Premature mortality", US_national_yearly!$D:$AM, 10, FALSE), 1)</f>
        <v>4.865221362676652E-3</v>
      </c>
      <c r="V2" s="7">
        <f>$B2 * IFERROR(VLOOKUP("buildings|SO2|Premature mortality", US_national_yearly!$D:$AM, 30, FALSE) / VLOOKUP("buildings|SO2|Premature mortality", US_national_yearly!$D:$AM, 10, FALSE), 1)</f>
        <v>4.8912045775725511E-3</v>
      </c>
      <c r="W2" s="7">
        <f>$B2 * IFERROR(VLOOKUP("buildings|SO2|Premature mortality", US_national_yearly!$D:$AM, 31, FALSE) / VLOOKUP("buildings|SO2|Premature mortality", US_national_yearly!$D:$AM, 10, FALSE), 1)</f>
        <v>4.9171877924684502E-3</v>
      </c>
      <c r="X2" s="7">
        <f>$B2 * IFERROR(VLOOKUP("buildings|SO2|Premature mortality", US_national_yearly!$D:$AM, 32, FALSE) / VLOOKUP("buildings|SO2|Premature mortality", US_national_yearly!$D:$AM, 10, FALSE), 1)</f>
        <v>4.9224380896447234E-3</v>
      </c>
      <c r="Y2" s="7">
        <f>$B2 * IFERROR(VLOOKUP("buildings|SO2|Premature mortality", US_national_yearly!$D:$AM, 33, FALSE) / VLOOKUP("buildings|SO2|Premature mortality", US_national_yearly!$D:$AM, 10, FALSE), 1)</f>
        <v>4.9276883868209966E-3</v>
      </c>
      <c r="Z2" s="7">
        <f>$B2 * IFERROR(VLOOKUP("buildings|SO2|Premature mortality", US_national_yearly!$D:$AM, 34, FALSE) / VLOOKUP("buildings|SO2|Premature mortality", US_national_yearly!$D:$AM, 10, FALSE), 1)</f>
        <v>4.932938683997269E-3</v>
      </c>
      <c r="AA2" s="7">
        <f>$B2 * IFERROR(VLOOKUP("buildings|SO2|Premature mortality", US_national_yearly!$D:$AM, 35, FALSE) / VLOOKUP("buildings|SO2|Premature mortality", US_national_yearly!$D:$AM, 10, FALSE), 1)</f>
        <v>4.9381889811735413E-3</v>
      </c>
      <c r="AB2" s="7">
        <f>$B2 * IFERROR(VLOOKUP("buildings|SO2|Premature mortality", US_national_yearly!$D:$AM, 36, FALSE) / VLOOKUP("buildings|SO2|Premature mortality", US_national_yearly!$D:$AM, 10, FALSE), 1)</f>
        <v>4.9434392783498145E-3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5.6432264992641296E-6</v>
      </c>
      <c r="C3" s="7">
        <f>$B3 * IFERROR(VLOOKUP("buildings|SO2|Infant mortality", US_national_yearly!$D:$AM, 11, FALSE) / VLOOKUP("buildings|SO2|Infant mortality", US_national_yearly!$D:$AM, 10, FALSE), 1)</f>
        <v>5.5948561069966404E-6</v>
      </c>
      <c r="D3" s="7">
        <f>$B3 * IFERROR(VLOOKUP("buildings|SO2|Infant mortality", US_national_yearly!$D:$AM, 12, FALSE) / VLOOKUP("buildings|SO2|Infant mortality", US_national_yearly!$D:$AM, 10, FALSE), 1)</f>
        <v>5.5464857147291512E-6</v>
      </c>
      <c r="E3" s="7">
        <f>$B3 * IFERROR(VLOOKUP("buildings|SO2|Infant mortality", US_national_yearly!$D:$AM, 13, FALSE) / VLOOKUP("buildings|SO2|Infant mortality", US_national_yearly!$D:$AM, 10, FALSE), 1)</f>
        <v>5.4981153224616628E-6</v>
      </c>
      <c r="F3" s="7">
        <f>$B3 * IFERROR(VLOOKUP("buildings|SO2|Infant mortality", US_national_yearly!$D:$AM, 14, FALSE) / VLOOKUP("buildings|SO2|Infant mortality", US_national_yearly!$D:$AM, 10, FALSE), 1)</f>
        <v>5.4497449301941745E-6</v>
      </c>
      <c r="G3" s="7">
        <f>$B3 * IFERROR(VLOOKUP("buildings|SO2|Infant mortality", US_national_yearly!$D:$AM, 15, FALSE) / VLOOKUP("buildings|SO2|Infant mortality", US_national_yearly!$D:$AM, 10, FALSE), 1)</f>
        <v>3.6293142223629009E-6</v>
      </c>
      <c r="H3" s="7">
        <f>$B3 * IFERROR(VLOOKUP("buildings|SO2|Infant mortality", US_national_yearly!$D:$AM, 16, FALSE) / VLOOKUP("buildings|SO2|Infant mortality", US_national_yearly!$D:$AM, 10, FALSE), 1)</f>
        <v>1.8088835145316276E-6</v>
      </c>
      <c r="I3" s="7">
        <f>$B3 * IFERROR(VLOOKUP("buildings|SO2|Infant mortality", US_national_yearly!$D:$AM, 17, FALSE) / VLOOKUP("buildings|SO2|Infant mortality", US_national_yearly!$D:$AM, 10, FALSE), 1)</f>
        <v>1.7975343796065135E-6</v>
      </c>
      <c r="J3" s="7">
        <f>$B3 * IFERROR(VLOOKUP("buildings|SO2|Infant mortality", US_national_yearly!$D:$AM, 18, FALSE) / VLOOKUP("buildings|SO2|Infant mortality", US_national_yearly!$D:$AM, 10, FALSE), 1)</f>
        <v>1.786185244681399E-6</v>
      </c>
      <c r="K3" s="7">
        <f>$B3 * IFERROR(VLOOKUP("buildings|SO2|Infant mortality", US_national_yearly!$D:$AM, 19, FALSE) / VLOOKUP("buildings|SO2|Infant mortality", US_national_yearly!$D:$AM, 10, FALSE), 1)</f>
        <v>1.7748361097562852E-6</v>
      </c>
      <c r="L3" s="7">
        <f>$B3 * IFERROR(VLOOKUP("buildings|SO2|Infant mortality", US_national_yearly!$D:$AM, 20, FALSE) / VLOOKUP("buildings|SO2|Infant mortality", US_national_yearly!$D:$AM, 10, FALSE), 1)</f>
        <v>1.7634869748311707E-6</v>
      </c>
      <c r="M3" s="7">
        <f>$B3 * IFERROR(VLOOKUP("buildings|SO2|Infant mortality", US_national_yearly!$D:$AM, 21, FALSE) / VLOOKUP("buildings|SO2|Infant mortality", US_national_yearly!$D:$AM, 10, FALSE), 1)</f>
        <v>1.7521378399060566E-6</v>
      </c>
      <c r="N3" s="7">
        <f>$B3 * IFERROR(VLOOKUP("buildings|SO2|Infant mortality", US_national_yearly!$D:$AM, 22, FALSE) / VLOOKUP("buildings|SO2|Infant mortality", US_national_yearly!$D:$AM, 10, FALSE), 1)</f>
        <v>1.7450231379495815E-6</v>
      </c>
      <c r="O3" s="7">
        <f>$B3 * IFERROR(VLOOKUP("buildings|SO2|Infant mortality", US_national_yearly!$D:$AM, 23, FALSE) / VLOOKUP("buildings|SO2|Infant mortality", US_national_yearly!$D:$AM, 10, FALSE), 1)</f>
        <v>1.7379084359931062E-6</v>
      </c>
      <c r="P3" s="7">
        <f>$B3 * IFERROR(VLOOKUP("buildings|SO2|Infant mortality", US_national_yearly!$D:$AM, 24, FALSE) / VLOOKUP("buildings|SO2|Infant mortality", US_national_yearly!$D:$AM, 10, FALSE), 1)</f>
        <v>1.7307937340366309E-6</v>
      </c>
      <c r="Q3" s="7">
        <f>$B3 * IFERROR(VLOOKUP("buildings|SO2|Infant mortality", US_national_yearly!$D:$AM, 25, FALSE) / VLOOKUP("buildings|SO2|Infant mortality", US_national_yearly!$D:$AM, 10, FALSE), 1)</f>
        <v>1.7236790320801559E-6</v>
      </c>
      <c r="R3" s="7">
        <f>$B3 * IFERROR(VLOOKUP("buildings|SO2|Infant mortality", US_national_yearly!$D:$AM, 26, FALSE) / VLOOKUP("buildings|SO2|Infant mortality", US_national_yearly!$D:$AM, 10, FALSE), 1)</f>
        <v>1.7165643301236806E-6</v>
      </c>
      <c r="S3" s="7">
        <f>$B3 * IFERROR(VLOOKUP("buildings|SO2|Infant mortality", US_national_yearly!$D:$AM, 27, FALSE) / VLOOKUP("buildings|SO2|Infant mortality", US_national_yearly!$D:$AM, 10, FALSE), 1)</f>
        <v>1.7076305200474079E-6</v>
      </c>
      <c r="T3" s="7">
        <f>$B3 * IFERROR(VLOOKUP("buildings|SO2|Infant mortality", US_national_yearly!$D:$AM, 28, FALSE) / VLOOKUP("buildings|SO2|Infant mortality", US_national_yearly!$D:$AM, 10, FALSE), 1)</f>
        <v>1.6986967099711353E-6</v>
      </c>
      <c r="U3" s="7">
        <f>$B3 * IFERROR(VLOOKUP("buildings|SO2|Infant mortality", US_national_yearly!$D:$AM, 29, FALSE) / VLOOKUP("buildings|SO2|Infant mortality", US_national_yearly!$D:$AM, 10, FALSE), 1)</f>
        <v>1.6897628998948629E-6</v>
      </c>
      <c r="V3" s="7">
        <f>$B3 * IFERROR(VLOOKUP("buildings|SO2|Infant mortality", US_national_yearly!$D:$AM, 30, FALSE) / VLOOKUP("buildings|SO2|Infant mortality", US_national_yearly!$D:$AM, 10, FALSE), 1)</f>
        <v>1.6808290898185902E-6</v>
      </c>
      <c r="W3" s="7">
        <f>$B3 * IFERROR(VLOOKUP("buildings|SO2|Infant mortality", US_national_yearly!$D:$AM, 31, FALSE) / VLOOKUP("buildings|SO2|Infant mortality", US_national_yearly!$D:$AM, 10, FALSE), 1)</f>
        <v>1.6718952797423176E-6</v>
      </c>
      <c r="X3" s="7">
        <f>$B3 * IFERROR(VLOOKUP("buildings|SO2|Infant mortality", US_national_yearly!$D:$AM, 32, FALSE) / VLOOKUP("buildings|SO2|Infant mortality", US_national_yearly!$D:$AM, 10, FALSE), 1)</f>
        <v>1.6621381435627193E-6</v>
      </c>
      <c r="Y3" s="7">
        <f>$B3 * IFERROR(VLOOKUP("buildings|SO2|Infant mortality", US_national_yearly!$D:$AM, 33, FALSE) / VLOOKUP("buildings|SO2|Infant mortality", US_national_yearly!$D:$AM, 10, FALSE), 1)</f>
        <v>1.6523810073831207E-6</v>
      </c>
      <c r="Z3" s="7">
        <f>$B3 * IFERROR(VLOOKUP("buildings|SO2|Infant mortality", US_national_yearly!$D:$AM, 34, FALSE) / VLOOKUP("buildings|SO2|Infant mortality", US_national_yearly!$D:$AM, 10, FALSE), 1)</f>
        <v>1.6426238712035226E-6</v>
      </c>
      <c r="AA3" s="7">
        <f>$B3 * IFERROR(VLOOKUP("buildings|SO2|Infant mortality", US_national_yearly!$D:$AM, 35, FALSE) / VLOOKUP("buildings|SO2|Infant mortality", US_national_yearly!$D:$AM, 10, FALSE), 1)</f>
        <v>1.6328667350239238E-6</v>
      </c>
      <c r="AB3" s="7">
        <f>$B3 * IFERROR(VLOOKUP("buildings|SO2|Infant mortality", US_national_yearly!$D:$AM, 36, FALSE) / VLOOKUP("buildings|SO2|Infant mortality", US_national_yearly!$D:$AM, 10, FALSE), 1)</f>
        <v>1.6231095988443257E-6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8.6975331279542743E-3</v>
      </c>
      <c r="C6" s="7">
        <f>$B6 * IFERROR(VLOOKUP("buildings|SO2|Asthma symptoms cough", US_national_yearly!$D:$AM, 11, FALSE) / VLOOKUP("buildings|SO2|Asthma symptoms cough", US_national_yearly!$D:$AM, 10, FALSE), 1)</f>
        <v>8.6975331279542743E-3</v>
      </c>
      <c r="D6" s="7">
        <f>$B6 * IFERROR(VLOOKUP("buildings|SO2|Asthma symptoms cough", US_national_yearly!$D:$AM, 12, FALSE) / VLOOKUP("buildings|SO2|Asthma symptoms cough", US_national_yearly!$D:$AM, 10, FALSE), 1)</f>
        <v>8.6975331279542743E-3</v>
      </c>
      <c r="E6" s="7">
        <f>$B6 * IFERROR(VLOOKUP("buildings|SO2|Asthma symptoms cough", US_national_yearly!$D:$AM, 13, FALSE) / VLOOKUP("buildings|SO2|Asthma symptoms cough", US_national_yearly!$D:$AM, 10, FALSE), 1)</f>
        <v>8.6975331279542743E-3</v>
      </c>
      <c r="F6" s="7">
        <f>$B6 * IFERROR(VLOOKUP("buildings|SO2|Asthma symptoms cough", US_national_yearly!$D:$AM, 14, FALSE) / VLOOKUP("buildings|SO2|Asthma symptoms cough", US_national_yearly!$D:$AM, 10, FALSE), 1)</f>
        <v>8.6975331279542743E-3</v>
      </c>
      <c r="G6" s="7">
        <f>$B6 * IFERROR(VLOOKUP("buildings|SO2|Asthma symptoms cough", US_national_yearly!$D:$AM, 15, FALSE) / VLOOKUP("buildings|SO2|Asthma symptoms cough", US_national_yearly!$D:$AM, 10, FALSE), 1)</f>
        <v>8.6975331279542743E-3</v>
      </c>
      <c r="H6" s="7">
        <f>$B6 * IFERROR(VLOOKUP("buildings|SO2|Asthma symptoms cough", US_national_yearly!$D:$AM, 16, FALSE) / VLOOKUP("buildings|SO2|Asthma symptoms cough", US_national_yearly!$D:$AM, 10, FALSE), 1)</f>
        <v>8.6975331279542743E-3</v>
      </c>
      <c r="I6" s="7">
        <f>$B6 * IFERROR(VLOOKUP("buildings|SO2|Asthma symptoms cough", US_national_yearly!$D:$AM, 17, FALSE) / VLOOKUP("buildings|SO2|Asthma symptoms cough", US_national_yearly!$D:$AM, 10, FALSE), 1)</f>
        <v>8.6975331279542743E-3</v>
      </c>
      <c r="J6" s="7">
        <f>$B6 * IFERROR(VLOOKUP("buildings|SO2|Asthma symptoms cough", US_national_yearly!$D:$AM, 18, FALSE) / VLOOKUP("buildings|SO2|Asthma symptoms cough", US_national_yearly!$D:$AM, 10, FALSE), 1)</f>
        <v>8.6975331279542743E-3</v>
      </c>
      <c r="K6" s="7">
        <f>$B6 * IFERROR(VLOOKUP("buildings|SO2|Asthma symptoms cough", US_national_yearly!$D:$AM, 19, FALSE) / VLOOKUP("buildings|SO2|Asthma symptoms cough", US_national_yearly!$D:$AM, 10, FALSE), 1)</f>
        <v>8.6975331279542743E-3</v>
      </c>
      <c r="L6" s="7">
        <f>$B6 * IFERROR(VLOOKUP("buildings|SO2|Asthma symptoms cough", US_national_yearly!$D:$AM, 20, FALSE) / VLOOKUP("buildings|SO2|Asthma symptoms cough", US_national_yearly!$D:$AM, 10, FALSE), 1)</f>
        <v>8.6975331279542743E-3</v>
      </c>
      <c r="M6" s="7">
        <f>$B6 * IFERROR(VLOOKUP("buildings|SO2|Asthma symptoms cough", US_national_yearly!$D:$AM, 21, FALSE) / VLOOKUP("buildings|SO2|Asthma symptoms cough", US_national_yearly!$D:$AM, 10, FALSE), 1)</f>
        <v>8.6975331279542743E-3</v>
      </c>
      <c r="N6" s="7">
        <f>$B6 * IFERROR(VLOOKUP("buildings|SO2|Asthma symptoms cough", US_national_yearly!$D:$AM, 22, FALSE) / VLOOKUP("buildings|SO2|Asthma symptoms cough", US_national_yearly!$D:$AM, 10, FALSE), 1)</f>
        <v>8.6975331279542743E-3</v>
      </c>
      <c r="O6" s="7">
        <f>$B6 * IFERROR(VLOOKUP("buildings|SO2|Asthma symptoms cough", US_national_yearly!$D:$AM, 23, FALSE) / VLOOKUP("buildings|SO2|Asthma symptoms cough", US_national_yearly!$D:$AM, 10, FALSE), 1)</f>
        <v>8.6975331279542743E-3</v>
      </c>
      <c r="P6" s="7">
        <f>$B6 * IFERROR(VLOOKUP("buildings|SO2|Asthma symptoms cough", US_national_yearly!$D:$AM, 24, FALSE) / VLOOKUP("buildings|SO2|Asthma symptoms cough", US_national_yearly!$D:$AM, 10, FALSE), 1)</f>
        <v>8.6975331279542743E-3</v>
      </c>
      <c r="Q6" s="7">
        <f>$B6 * IFERROR(VLOOKUP("buildings|SO2|Asthma symptoms cough", US_national_yearly!$D:$AM, 25, FALSE) / VLOOKUP("buildings|SO2|Asthma symptoms cough", US_national_yearly!$D:$AM, 10, FALSE), 1)</f>
        <v>8.6975331279542743E-3</v>
      </c>
      <c r="R6" s="7">
        <f>$B6 * IFERROR(VLOOKUP("buildings|SO2|Asthma symptoms cough", US_national_yearly!$D:$AM, 26, FALSE) / VLOOKUP("buildings|SO2|Asthma symptoms cough", US_national_yearly!$D:$AM, 10, FALSE), 1)</f>
        <v>8.6975331279542743E-3</v>
      </c>
      <c r="S6" s="7">
        <f>$B6 * IFERROR(VLOOKUP("buildings|SO2|Asthma symptoms cough", US_national_yearly!$D:$AM, 27, FALSE) / VLOOKUP("buildings|SO2|Asthma symptoms cough", US_national_yearly!$D:$AM, 10, FALSE), 1)</f>
        <v>8.6975331279542743E-3</v>
      </c>
      <c r="T6" s="7">
        <f>$B6 * IFERROR(VLOOKUP("buildings|SO2|Asthma symptoms cough", US_national_yearly!$D:$AM, 28, FALSE) / VLOOKUP("buildings|SO2|Asthma symptoms cough", US_national_yearly!$D:$AM, 10, FALSE), 1)</f>
        <v>8.6975331279542743E-3</v>
      </c>
      <c r="U6" s="7">
        <f>$B6 * IFERROR(VLOOKUP("buildings|SO2|Asthma symptoms cough", US_national_yearly!$D:$AM, 29, FALSE) / VLOOKUP("buildings|SO2|Asthma symptoms cough", US_national_yearly!$D:$AM, 10, FALSE), 1)</f>
        <v>8.6975331279542743E-3</v>
      </c>
      <c r="V6" s="7">
        <f>$B6 * IFERROR(VLOOKUP("buildings|SO2|Asthma symptoms cough", US_national_yearly!$D:$AM, 30, FALSE) / VLOOKUP("buildings|SO2|Asthma symptoms cough", US_national_yearly!$D:$AM, 10, FALSE), 1)</f>
        <v>8.6975331279542743E-3</v>
      </c>
      <c r="W6" s="7">
        <f>$B6 * IFERROR(VLOOKUP("buildings|SO2|Asthma symptoms cough", US_national_yearly!$D:$AM, 31, FALSE) / VLOOKUP("buildings|SO2|Asthma symptoms cough", US_national_yearly!$D:$AM, 10, FALSE), 1)</f>
        <v>8.6975331279542743E-3</v>
      </c>
      <c r="X6" s="7">
        <f>$B6 * IFERROR(VLOOKUP("buildings|SO2|Asthma symptoms cough", US_national_yearly!$D:$AM, 32, FALSE) / VLOOKUP("buildings|SO2|Asthma symptoms cough", US_national_yearly!$D:$AM, 10, FALSE), 1)</f>
        <v>8.6975331279542743E-3</v>
      </c>
      <c r="Y6" s="7">
        <f>$B6 * IFERROR(VLOOKUP("buildings|SO2|Asthma symptoms cough", US_national_yearly!$D:$AM, 33, FALSE) / VLOOKUP("buildings|SO2|Asthma symptoms cough", US_national_yearly!$D:$AM, 10, FALSE), 1)</f>
        <v>8.6975331279542743E-3</v>
      </c>
      <c r="Z6" s="7">
        <f>$B6 * IFERROR(VLOOKUP("buildings|SO2|Asthma symptoms cough", US_national_yearly!$D:$AM, 34, FALSE) / VLOOKUP("buildings|SO2|Asthma symptoms cough", US_national_yearly!$D:$AM, 10, FALSE), 1)</f>
        <v>8.6975331279542743E-3</v>
      </c>
      <c r="AA6" s="7">
        <f>$B6 * IFERROR(VLOOKUP("buildings|SO2|Asthma symptoms cough", US_national_yearly!$D:$AM, 35, FALSE) / VLOOKUP("buildings|SO2|Asthma symptoms cough", US_national_yearly!$D:$AM, 10, FALSE), 1)</f>
        <v>8.6975331279542743E-3</v>
      </c>
      <c r="AB6" s="7">
        <f>$B6 * IFERROR(VLOOKUP("buildings|SO2|Asthma symptoms cough", US_national_yearly!$D:$AM, 36, FALSE) / VLOOKUP("buildings|SO2|Asthma symptoms cough", US_national_yearly!$D:$AM, 10, FALSE), 1)</f>
        <v>8.6975331279542743E-3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1.1712466758791895E-2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1.1712466758791895E-2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1.1712466758791895E-2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1.1712466758791895E-2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1.1712466758791895E-2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1.1712466758791895E-2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1.1712466758791895E-2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1.1712466758791895E-2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1.1712466758791895E-2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1.1712466758791895E-2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1.1712466758791895E-2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1.1712466758791895E-2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1.1712466758791895E-2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1.1712466758791895E-2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1.1712466758791895E-2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1.1712466758791895E-2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1.1712466758791895E-2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1.1712466758791895E-2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1.1712466758791895E-2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1.1712466758791895E-2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1.1712466758791895E-2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1.1712466758791895E-2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1.1712466758791895E-2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1.1712466758791895E-2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1.1712466758791895E-2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1.1712466758791895E-2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1.1712466758791895E-2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1.7894748579241546E-2</v>
      </c>
      <c r="C8" s="7">
        <f>$B8 * IFERROR(VLOOKUP("buildings|SO2|Asthma symptoms wheeze", US_national_yearly!$D:$AM, 11, FALSE) / VLOOKUP("buildings|SO2|Asthma symptoms wheeze", US_national_yearly!$D:$AM, 10, FALSE), 1)</f>
        <v>1.7894748579241546E-2</v>
      </c>
      <c r="D8" s="7">
        <f>$B8 * IFERROR(VLOOKUP("buildings|SO2|Asthma symptoms wheeze", US_national_yearly!$D:$AM, 12, FALSE) / VLOOKUP("buildings|SO2|Asthma symptoms wheeze", US_national_yearly!$D:$AM, 10, FALSE), 1)</f>
        <v>1.7894748579241546E-2</v>
      </c>
      <c r="E8" s="7">
        <f>$B8 * IFERROR(VLOOKUP("buildings|SO2|Asthma symptoms wheeze", US_national_yearly!$D:$AM, 13, FALSE) / VLOOKUP("buildings|SO2|Asthma symptoms wheeze", US_national_yearly!$D:$AM, 10, FALSE), 1)</f>
        <v>1.7894748579241546E-2</v>
      </c>
      <c r="F8" s="7">
        <f>$B8 * IFERROR(VLOOKUP("buildings|SO2|Asthma symptoms wheeze", US_national_yearly!$D:$AM, 14, FALSE) / VLOOKUP("buildings|SO2|Asthma symptoms wheeze", US_national_yearly!$D:$AM, 10, FALSE), 1)</f>
        <v>1.7894748579241546E-2</v>
      </c>
      <c r="G8" s="7">
        <f>$B8 * IFERROR(VLOOKUP("buildings|SO2|Asthma symptoms wheeze", US_national_yearly!$D:$AM, 15, FALSE) / VLOOKUP("buildings|SO2|Asthma symptoms wheeze", US_national_yearly!$D:$AM, 10, FALSE), 1)</f>
        <v>1.7894748579241546E-2</v>
      </c>
      <c r="H8" s="7">
        <f>$B8 * IFERROR(VLOOKUP("buildings|SO2|Asthma symptoms wheeze", US_national_yearly!$D:$AM, 16, FALSE) / VLOOKUP("buildings|SO2|Asthma symptoms wheeze", US_national_yearly!$D:$AM, 10, FALSE), 1)</f>
        <v>1.7894748579241546E-2</v>
      </c>
      <c r="I8" s="7">
        <f>$B8 * IFERROR(VLOOKUP("buildings|SO2|Asthma symptoms wheeze", US_national_yearly!$D:$AM, 17, FALSE) / VLOOKUP("buildings|SO2|Asthma symptoms wheeze", US_national_yearly!$D:$AM, 10, FALSE), 1)</f>
        <v>1.7894748579241546E-2</v>
      </c>
      <c r="J8" s="7">
        <f>$B8 * IFERROR(VLOOKUP("buildings|SO2|Asthma symptoms wheeze", US_national_yearly!$D:$AM, 18, FALSE) / VLOOKUP("buildings|SO2|Asthma symptoms wheeze", US_national_yearly!$D:$AM, 10, FALSE), 1)</f>
        <v>1.7894748579241546E-2</v>
      </c>
      <c r="K8" s="7">
        <f>$B8 * IFERROR(VLOOKUP("buildings|SO2|Asthma symptoms wheeze", US_national_yearly!$D:$AM, 19, FALSE) / VLOOKUP("buildings|SO2|Asthma symptoms wheeze", US_national_yearly!$D:$AM, 10, FALSE), 1)</f>
        <v>1.7894748579241546E-2</v>
      </c>
      <c r="L8" s="7">
        <f>$B8 * IFERROR(VLOOKUP("buildings|SO2|Asthma symptoms wheeze", US_national_yearly!$D:$AM, 20, FALSE) / VLOOKUP("buildings|SO2|Asthma symptoms wheeze", US_national_yearly!$D:$AM, 10, FALSE), 1)</f>
        <v>1.7894748579241546E-2</v>
      </c>
      <c r="M8" s="7">
        <f>$B8 * IFERROR(VLOOKUP("buildings|SO2|Asthma symptoms wheeze", US_national_yearly!$D:$AM, 21, FALSE) / VLOOKUP("buildings|SO2|Asthma symptoms wheeze", US_national_yearly!$D:$AM, 10, FALSE), 1)</f>
        <v>1.7894748579241546E-2</v>
      </c>
      <c r="N8" s="7">
        <f>$B8 * IFERROR(VLOOKUP("buildings|SO2|Asthma symptoms wheeze", US_national_yearly!$D:$AM, 22, FALSE) / VLOOKUP("buildings|SO2|Asthma symptoms wheeze", US_national_yearly!$D:$AM, 10, FALSE), 1)</f>
        <v>1.7894748579241546E-2</v>
      </c>
      <c r="O8" s="7">
        <f>$B8 * IFERROR(VLOOKUP("buildings|SO2|Asthma symptoms wheeze", US_national_yearly!$D:$AM, 23, FALSE) / VLOOKUP("buildings|SO2|Asthma symptoms wheeze", US_national_yearly!$D:$AM, 10, FALSE), 1)</f>
        <v>1.7894748579241546E-2</v>
      </c>
      <c r="P8" s="7">
        <f>$B8 * IFERROR(VLOOKUP("buildings|SO2|Asthma symptoms wheeze", US_national_yearly!$D:$AM, 24, FALSE) / VLOOKUP("buildings|SO2|Asthma symptoms wheeze", US_national_yearly!$D:$AM, 10, FALSE), 1)</f>
        <v>1.7894748579241546E-2</v>
      </c>
      <c r="Q8" s="7">
        <f>$B8 * IFERROR(VLOOKUP("buildings|SO2|Asthma symptoms wheeze", US_national_yearly!$D:$AM, 25, FALSE) / VLOOKUP("buildings|SO2|Asthma symptoms wheeze", US_national_yearly!$D:$AM, 10, FALSE), 1)</f>
        <v>1.7894748579241546E-2</v>
      </c>
      <c r="R8" s="7">
        <f>$B8 * IFERROR(VLOOKUP("buildings|SO2|Asthma symptoms wheeze", US_national_yearly!$D:$AM, 26, FALSE) / VLOOKUP("buildings|SO2|Asthma symptoms wheeze", US_national_yearly!$D:$AM, 10, FALSE), 1)</f>
        <v>1.7894748579241546E-2</v>
      </c>
      <c r="S8" s="7">
        <f>$B8 * IFERROR(VLOOKUP("buildings|SO2|Asthma symptoms wheeze", US_national_yearly!$D:$AM, 27, FALSE) / VLOOKUP("buildings|SO2|Asthma symptoms wheeze", US_national_yearly!$D:$AM, 10, FALSE), 1)</f>
        <v>1.7894748579241546E-2</v>
      </c>
      <c r="T8" s="7">
        <f>$B8 * IFERROR(VLOOKUP("buildings|SO2|Asthma symptoms wheeze", US_national_yearly!$D:$AM, 28, FALSE) / VLOOKUP("buildings|SO2|Asthma symptoms wheeze", US_national_yearly!$D:$AM, 10, FALSE), 1)</f>
        <v>1.7894748579241546E-2</v>
      </c>
      <c r="U8" s="7">
        <f>$B8 * IFERROR(VLOOKUP("buildings|SO2|Asthma symptoms wheeze", US_national_yearly!$D:$AM, 29, FALSE) / VLOOKUP("buildings|SO2|Asthma symptoms wheeze", US_national_yearly!$D:$AM, 10, FALSE), 1)</f>
        <v>1.7894748579241546E-2</v>
      </c>
      <c r="V8" s="7">
        <f>$B8 * IFERROR(VLOOKUP("buildings|SO2|Asthma symptoms wheeze", US_national_yearly!$D:$AM, 30, FALSE) / VLOOKUP("buildings|SO2|Asthma symptoms wheeze", US_national_yearly!$D:$AM, 10, FALSE), 1)</f>
        <v>1.7894748579241546E-2</v>
      </c>
      <c r="W8" s="7">
        <f>$B8 * IFERROR(VLOOKUP("buildings|SO2|Asthma symptoms wheeze", US_national_yearly!$D:$AM, 31, FALSE) / VLOOKUP("buildings|SO2|Asthma symptoms wheeze", US_national_yearly!$D:$AM, 10, FALSE), 1)</f>
        <v>1.7894748579241546E-2</v>
      </c>
      <c r="X8" s="7">
        <f>$B8 * IFERROR(VLOOKUP("buildings|SO2|Asthma symptoms wheeze", US_national_yearly!$D:$AM, 32, FALSE) / VLOOKUP("buildings|SO2|Asthma symptoms wheeze", US_national_yearly!$D:$AM, 10, FALSE), 1)</f>
        <v>1.7894748579241546E-2</v>
      </c>
      <c r="Y8" s="7">
        <f>$B8 * IFERROR(VLOOKUP("buildings|SO2|Asthma symptoms wheeze", US_national_yearly!$D:$AM, 33, FALSE) / VLOOKUP("buildings|SO2|Asthma symptoms wheeze", US_national_yearly!$D:$AM, 10, FALSE), 1)</f>
        <v>1.7894748579241546E-2</v>
      </c>
      <c r="Z8" s="7">
        <f>$B8 * IFERROR(VLOOKUP("buildings|SO2|Asthma symptoms wheeze", US_national_yearly!$D:$AM, 34, FALSE) / VLOOKUP("buildings|SO2|Asthma symptoms wheeze", US_national_yearly!$D:$AM, 10, FALSE), 1)</f>
        <v>1.7894748579241546E-2</v>
      </c>
      <c r="AA8" s="7">
        <f>$B8 * IFERROR(VLOOKUP("buildings|SO2|Asthma symptoms wheeze", US_national_yearly!$D:$AM, 35, FALSE) / VLOOKUP("buildings|SO2|Asthma symptoms wheeze", US_national_yearly!$D:$AM, 10, FALSE), 1)</f>
        <v>1.7894748579241546E-2</v>
      </c>
      <c r="AB8" s="7">
        <f>$B8 * IFERROR(VLOOKUP("buildings|SO2|Asthma symptoms wheeze", US_national_yearly!$D:$AM, 36, FALSE) / VLOOKUP("buildings|SO2|Asthma symptoms wheeze", US_national_yearly!$D:$AM, 10, FALSE), 1)</f>
        <v>1.7894748579241546E-2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2.9121122998698029E-4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2.9293123505109883E-4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2.9465124011521736E-4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2.963712451793359E-4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2.9809125024345432E-4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2.9996583906678591E-4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3.0184042789011749E-4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3.0368523009730323E-4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3.0553003230448904E-4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3.0737483451167478E-4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3.0921963671886053E-4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3.1106443892604634E-4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3.1241144992723361E-4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3.1375846092842089E-4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3.1510547192960817E-4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3.1645248293079545E-4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3.1779949393198278E-4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3.1908388473321655E-4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3.2036827553445042E-4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3.2165266633568418E-4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3.2293705713691795E-4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3.2422144793815182E-4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3.2544195431453358E-4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3.2666246069091534E-4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3.2788296706729711E-4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3.2910347344367887E-4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3.3032397982006063E-4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1.7367025211384734E-3</v>
      </c>
      <c r="C13" s="7">
        <f>$B13 * IFERROR(VLOOKUP("buildings|SO2|Non-fatal heart attacks", US_national_yearly!$D:$AM, 11, FALSE) / VLOOKUP("buildings|SO2|Non-fatal heart attacks", US_national_yearly!$D:$AM, 10, FALSE), 1)</f>
        <v>1.7877022823766916E-3</v>
      </c>
      <c r="D13" s="7">
        <f>$B13 * IFERROR(VLOOKUP("buildings|SO2|Non-fatal heart attacks", US_national_yearly!$D:$AM, 12, FALSE) / VLOOKUP("buildings|SO2|Non-fatal heart attacks", US_national_yearly!$D:$AM, 10, FALSE), 1)</f>
        <v>1.8387020436149094E-3</v>
      </c>
      <c r="E13" s="7">
        <f>$B13 * IFERROR(VLOOKUP("buildings|SO2|Non-fatal heart attacks", US_national_yearly!$D:$AM, 13, FALSE) / VLOOKUP("buildings|SO2|Non-fatal heart attacks", US_national_yearly!$D:$AM, 10, FALSE), 1)</f>
        <v>1.8897018048531274E-3</v>
      </c>
      <c r="F13" s="7">
        <f>$B13 * IFERROR(VLOOKUP("buildings|SO2|Non-fatal heart attacks", US_national_yearly!$D:$AM, 14, FALSE) / VLOOKUP("buildings|SO2|Non-fatal heart attacks", US_national_yearly!$D:$AM, 10, FALSE), 1)</f>
        <v>1.9407015660913456E-3</v>
      </c>
      <c r="G13" s="7">
        <f>$B13 * IFERROR(VLOOKUP("buildings|SO2|Non-fatal heart attacks", US_national_yearly!$D:$AM, 15, FALSE) / VLOOKUP("buildings|SO2|Non-fatal heart attacks", US_national_yearly!$D:$AM, 10, FALSE), 1)</f>
        <v>1.9888025661953758E-3</v>
      </c>
      <c r="H13" s="7">
        <f>$B13 * IFERROR(VLOOKUP("buildings|SO2|Non-fatal heart attacks", US_national_yearly!$D:$AM, 16, FALSE) / VLOOKUP("buildings|SO2|Non-fatal heart attacks", US_national_yearly!$D:$AM, 10, FALSE), 1)</f>
        <v>2.0369035662994063E-3</v>
      </c>
      <c r="I13" s="7">
        <f>$B13 * IFERROR(VLOOKUP("buildings|SO2|Non-fatal heart attacks", US_national_yearly!$D:$AM, 17, FALSE) / VLOOKUP("buildings|SO2|Non-fatal heart attacks", US_national_yearly!$D:$AM, 10, FALSE), 1)</f>
        <v>2.0756216830675402E-3</v>
      </c>
      <c r="J13" s="7">
        <f>$B13 * IFERROR(VLOOKUP("buildings|SO2|Non-fatal heart attacks", US_national_yearly!$D:$AM, 18, FALSE) / VLOOKUP("buildings|SO2|Non-fatal heart attacks", US_national_yearly!$D:$AM, 10, FALSE), 1)</f>
        <v>2.1143397998356745E-3</v>
      </c>
      <c r="K13" s="7">
        <f>$B13 * IFERROR(VLOOKUP("buildings|SO2|Non-fatal heart attacks", US_national_yearly!$D:$AM, 19, FALSE) / VLOOKUP("buildings|SO2|Non-fatal heart attacks", US_national_yearly!$D:$AM, 10, FALSE), 1)</f>
        <v>2.1530579166038084E-3</v>
      </c>
      <c r="L13" s="7">
        <f>$B13 * IFERROR(VLOOKUP("buildings|SO2|Non-fatal heart attacks", US_national_yearly!$D:$AM, 20, FALSE) / VLOOKUP("buildings|SO2|Non-fatal heart attacks", US_national_yearly!$D:$AM, 10, FALSE), 1)</f>
        <v>2.1917760333719431E-3</v>
      </c>
      <c r="M13" s="7">
        <f>$B13 * IFERROR(VLOOKUP("buildings|SO2|Non-fatal heart attacks", US_national_yearly!$D:$AM, 21, FALSE) / VLOOKUP("buildings|SO2|Non-fatal heart attacks", US_national_yearly!$D:$AM, 10, FALSE), 1)</f>
        <v>2.230494150140077E-3</v>
      </c>
      <c r="N13" s="7">
        <f>$B13 * IFERROR(VLOOKUP("buildings|SO2|Non-fatal heart attacks", US_national_yearly!$D:$AM, 22, FALSE) / VLOOKUP("buildings|SO2|Non-fatal heart attacks", US_national_yearly!$D:$AM, 10, FALSE), 1)</f>
        <v>2.2556240077666124E-3</v>
      </c>
      <c r="O13" s="7">
        <f>$B13 * IFERROR(VLOOKUP("buildings|SO2|Non-fatal heart attacks", US_national_yearly!$D:$AM, 23, FALSE) / VLOOKUP("buildings|SO2|Non-fatal heart attacks", US_national_yearly!$D:$AM, 10, FALSE), 1)</f>
        <v>2.2807538653931481E-3</v>
      </c>
      <c r="P13" s="7">
        <f>$B13 * IFERROR(VLOOKUP("buildings|SO2|Non-fatal heart attacks", US_national_yearly!$D:$AM, 24, FALSE) / VLOOKUP("buildings|SO2|Non-fatal heart attacks", US_national_yearly!$D:$AM, 10, FALSE), 1)</f>
        <v>2.3058837230196835E-3</v>
      </c>
      <c r="Q13" s="7">
        <f>$B13 * IFERROR(VLOOKUP("buildings|SO2|Non-fatal heart attacks", US_national_yearly!$D:$AM, 25, FALSE) / VLOOKUP("buildings|SO2|Non-fatal heart attacks", US_national_yearly!$D:$AM, 10, FALSE), 1)</f>
        <v>2.3310135806462184E-3</v>
      </c>
      <c r="R13" s="7">
        <f>$B13 * IFERROR(VLOOKUP("buildings|SO2|Non-fatal heart attacks", US_national_yearly!$D:$AM, 26, FALSE) / VLOOKUP("buildings|SO2|Non-fatal heart attacks", US_national_yearly!$D:$AM, 10, FALSE), 1)</f>
        <v>2.3561434382727542E-3</v>
      </c>
      <c r="S13" s="7">
        <f>$B13 * IFERROR(VLOOKUP("buildings|SO2|Non-fatal heart attacks", US_national_yearly!$D:$AM, 27, FALSE) / VLOOKUP("buildings|SO2|Non-fatal heart attacks", US_national_yearly!$D:$AM, 10, FALSE), 1)</f>
        <v>2.3692662087782851E-3</v>
      </c>
      <c r="T13" s="7">
        <f>$B13 * IFERROR(VLOOKUP("buildings|SO2|Non-fatal heart attacks", US_national_yearly!$D:$AM, 28, FALSE) / VLOOKUP("buildings|SO2|Non-fatal heart attacks", US_national_yearly!$D:$AM, 10, FALSE), 1)</f>
        <v>2.382388979283816E-3</v>
      </c>
      <c r="U13" s="7">
        <f>$B13 * IFERROR(VLOOKUP("buildings|SO2|Non-fatal heart attacks", US_national_yearly!$D:$AM, 29, FALSE) / VLOOKUP("buildings|SO2|Non-fatal heart attacks", US_national_yearly!$D:$AM, 10, FALSE), 1)</f>
        <v>2.395511749789346E-3</v>
      </c>
      <c r="V13" s="7">
        <f>$B13 * IFERROR(VLOOKUP("buildings|SO2|Non-fatal heart attacks", US_national_yearly!$D:$AM, 30, FALSE) / VLOOKUP("buildings|SO2|Non-fatal heart attacks", US_national_yearly!$D:$AM, 10, FALSE), 1)</f>
        <v>2.4086345202948768E-3</v>
      </c>
      <c r="W13" s="7">
        <f>$B13 * IFERROR(VLOOKUP("buildings|SO2|Non-fatal heart attacks", US_national_yearly!$D:$AM, 31, FALSE) / VLOOKUP("buildings|SO2|Non-fatal heart attacks", US_national_yearly!$D:$AM, 10, FALSE), 1)</f>
        <v>2.4217572908004073E-3</v>
      </c>
      <c r="X13" s="7">
        <f>$B13 * IFERROR(VLOOKUP("buildings|SO2|Non-fatal heart attacks", US_national_yearly!$D:$AM, 32, FALSE) / VLOOKUP("buildings|SO2|Non-fatal heart attacks", US_national_yearly!$D:$AM, 10, FALSE), 1)</f>
        <v>2.4316685707504154E-3</v>
      </c>
      <c r="Y13" s="7">
        <f>$B13 * IFERROR(VLOOKUP("buildings|SO2|Non-fatal heart attacks", US_national_yearly!$D:$AM, 33, FALSE) / VLOOKUP("buildings|SO2|Non-fatal heart attacks", US_national_yearly!$D:$AM, 10, FALSE), 1)</f>
        <v>2.4415798507004234E-3</v>
      </c>
      <c r="Z13" s="7">
        <f>$B13 * IFERROR(VLOOKUP("buildings|SO2|Non-fatal heart attacks", US_national_yearly!$D:$AM, 34, FALSE) / VLOOKUP("buildings|SO2|Non-fatal heart attacks", US_national_yearly!$D:$AM, 10, FALSE), 1)</f>
        <v>2.4514911306504302E-3</v>
      </c>
      <c r="AA13" s="7">
        <f>$B13 * IFERROR(VLOOKUP("buildings|SO2|Non-fatal heart attacks", US_national_yearly!$D:$AM, 35, FALSE) / VLOOKUP("buildings|SO2|Non-fatal heart attacks", US_national_yearly!$D:$AM, 10, FALSE), 1)</f>
        <v>2.4614024106004383E-3</v>
      </c>
      <c r="AB13" s="7">
        <f>$B13 * IFERROR(VLOOKUP("buildings|SO2|Non-fatal heart attacks", US_national_yearly!$D:$AM, 36, FALSE) / VLOOKUP("buildings|SO2|Non-fatal heart attacks", US_national_yearly!$D:$AM, 10, FALSE), 1)</f>
        <v>2.471313690550446E-3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1.2607528092034619</v>
      </c>
      <c r="C14" s="7">
        <f>$B14 * IFERROR(VLOOKUP("buildings|SO2|Minor restricted activity days", US_national_yearly!$D:$AM, 11, FALSE) / VLOOKUP("buildings|SO2|Minor restricted activity days", US_national_yearly!$D:$AM, 10, FALSE), 1)</f>
        <v>1.2639443385256672</v>
      </c>
      <c r="D14" s="7">
        <f>$B14 * IFERROR(VLOOKUP("buildings|SO2|Minor restricted activity days", US_national_yearly!$D:$AM, 12, FALSE) / VLOOKUP("buildings|SO2|Minor restricted activity days", US_national_yearly!$D:$AM, 10, FALSE), 1)</f>
        <v>1.2671358678478728</v>
      </c>
      <c r="E14" s="7">
        <f>$B14 * IFERROR(VLOOKUP("buildings|SO2|Minor restricted activity days", US_national_yearly!$D:$AM, 13, FALSE) / VLOOKUP("buildings|SO2|Minor restricted activity days", US_national_yearly!$D:$AM, 10, FALSE), 1)</f>
        <v>1.2703273971700786</v>
      </c>
      <c r="F14" s="7">
        <f>$B14 * IFERROR(VLOOKUP("buildings|SO2|Minor restricted activity days", US_national_yearly!$D:$AM, 14, FALSE) / VLOOKUP("buildings|SO2|Minor restricted activity days", US_national_yearly!$D:$AM, 10, FALSE), 1)</f>
        <v>1.2735189264922839</v>
      </c>
      <c r="G14" s="7">
        <f>$B14 * IFERROR(VLOOKUP("buildings|SO2|Minor restricted activity days", US_national_yearly!$D:$AM, 15, FALSE) / VLOOKUP("buildings|SO2|Minor restricted activity days", US_national_yearly!$D:$AM, 10, FALSE), 1)</f>
        <v>1.2782117391559933</v>
      </c>
      <c r="H14" s="7">
        <f>$B14 * IFERROR(VLOOKUP("buildings|SO2|Minor restricted activity days", US_national_yearly!$D:$AM, 16, FALSE) / VLOOKUP("buildings|SO2|Minor restricted activity days", US_national_yearly!$D:$AM, 10, FALSE), 1)</f>
        <v>1.2829045518197024</v>
      </c>
      <c r="I14" s="7">
        <f>$B14 * IFERROR(VLOOKUP("buildings|SO2|Minor restricted activity days", US_national_yearly!$D:$AM, 17, FALSE) / VLOOKUP("buildings|SO2|Minor restricted activity days", US_national_yearly!$D:$AM, 10, FALSE), 1)</f>
        <v>1.2908968840498876</v>
      </c>
      <c r="J14" s="7">
        <f>$B14 * IFERROR(VLOOKUP("buildings|SO2|Minor restricted activity days", US_national_yearly!$D:$AM, 18, FALSE) / VLOOKUP("buildings|SO2|Minor restricted activity days", US_national_yearly!$D:$AM, 10, FALSE), 1)</f>
        <v>1.2988892162800729</v>
      </c>
      <c r="K14" s="7">
        <f>$B14 * IFERROR(VLOOKUP("buildings|SO2|Minor restricted activity days", US_national_yearly!$D:$AM, 19, FALSE) / VLOOKUP("buildings|SO2|Minor restricted activity days", US_national_yearly!$D:$AM, 10, FALSE), 1)</f>
        <v>1.3068815485102578</v>
      </c>
      <c r="L14" s="7">
        <f>$B14 * IFERROR(VLOOKUP("buildings|SO2|Minor restricted activity days", US_national_yearly!$D:$AM, 20, FALSE) / VLOOKUP("buildings|SO2|Minor restricted activity days", US_national_yearly!$D:$AM, 10, FALSE), 1)</f>
        <v>1.3148738807404428</v>
      </c>
      <c r="M14" s="7">
        <f>$B14 * IFERROR(VLOOKUP("buildings|SO2|Minor restricted activity days", US_national_yearly!$D:$AM, 21, FALSE) / VLOOKUP("buildings|SO2|Minor restricted activity days", US_national_yearly!$D:$AM, 10, FALSE), 1)</f>
        <v>1.3228662129706279</v>
      </c>
      <c r="N14" s="7">
        <f>$B14 * IFERROR(VLOOKUP("buildings|SO2|Minor restricted activity days", US_national_yearly!$D:$AM, 22, FALSE) / VLOOKUP("buildings|SO2|Minor restricted activity days", US_national_yearly!$D:$AM, 10, FALSE), 1)</f>
        <v>1.3337953073048374</v>
      </c>
      <c r="O14" s="7">
        <f>$B14 * IFERROR(VLOOKUP("buildings|SO2|Minor restricted activity days", US_national_yearly!$D:$AM, 23, FALSE) / VLOOKUP("buildings|SO2|Minor restricted activity days", US_national_yearly!$D:$AM, 10, FALSE), 1)</f>
        <v>1.3447244016390469</v>
      </c>
      <c r="P14" s="7">
        <f>$B14 * IFERROR(VLOOKUP("buildings|SO2|Minor restricted activity days", US_national_yearly!$D:$AM, 24, FALSE) / VLOOKUP("buildings|SO2|Minor restricted activity days", US_national_yearly!$D:$AM, 10, FALSE), 1)</f>
        <v>1.3556534959732562</v>
      </c>
      <c r="Q14" s="7">
        <f>$B14 * IFERROR(VLOOKUP("buildings|SO2|Minor restricted activity days", US_national_yearly!$D:$AM, 25, FALSE) / VLOOKUP("buildings|SO2|Minor restricted activity days", US_national_yearly!$D:$AM, 10, FALSE), 1)</f>
        <v>1.366582590307466</v>
      </c>
      <c r="R14" s="7">
        <f>$B14 * IFERROR(VLOOKUP("buildings|SO2|Minor restricted activity days", US_national_yearly!$D:$AM, 26, FALSE) / VLOOKUP("buildings|SO2|Minor restricted activity days", US_national_yearly!$D:$AM, 10, FALSE), 1)</f>
        <v>1.3775116846416755</v>
      </c>
      <c r="S14" s="7">
        <f>$B14 * IFERROR(VLOOKUP("buildings|SO2|Minor restricted activity days", US_national_yearly!$D:$AM, 27, FALSE) / VLOOKUP("buildings|SO2|Minor restricted activity days", US_national_yearly!$D:$AM, 10, FALSE), 1)</f>
        <v>1.3886531867796383</v>
      </c>
      <c r="T14" s="7">
        <f>$B14 * IFERROR(VLOOKUP("buildings|SO2|Minor restricted activity days", US_national_yearly!$D:$AM, 28, FALSE) / VLOOKUP("buildings|SO2|Minor restricted activity days", US_national_yearly!$D:$AM, 10, FALSE), 1)</f>
        <v>1.3997946889176014</v>
      </c>
      <c r="U14" s="7">
        <f>$B14 * IFERROR(VLOOKUP("buildings|SO2|Minor restricted activity days", US_national_yearly!$D:$AM, 29, FALSE) / VLOOKUP("buildings|SO2|Minor restricted activity days", US_national_yearly!$D:$AM, 10, FALSE), 1)</f>
        <v>1.4109361910555642</v>
      </c>
      <c r="V14" s="7">
        <f>$B14 * IFERROR(VLOOKUP("buildings|SO2|Minor restricted activity days", US_national_yearly!$D:$AM, 30, FALSE) / VLOOKUP("buildings|SO2|Minor restricted activity days", US_national_yearly!$D:$AM, 10, FALSE), 1)</f>
        <v>1.4220776931935271</v>
      </c>
      <c r="W14" s="7">
        <f>$B14 * IFERROR(VLOOKUP("buildings|SO2|Minor restricted activity days", US_national_yearly!$D:$AM, 31, FALSE) / VLOOKUP("buildings|SO2|Minor restricted activity days", US_national_yearly!$D:$AM, 10, FALSE), 1)</f>
        <v>1.4332191953314903</v>
      </c>
      <c r="X14" s="7">
        <f>$B14 * IFERROR(VLOOKUP("buildings|SO2|Minor restricted activity days", US_national_yearly!$D:$AM, 32, FALSE) / VLOOKUP("buildings|SO2|Minor restricted activity days", US_national_yearly!$D:$AM, 10, FALSE), 1)</f>
        <v>1.4430175016922453</v>
      </c>
      <c r="Y14" s="7">
        <f>$B14 * IFERROR(VLOOKUP("buildings|SO2|Minor restricted activity days", US_national_yearly!$D:$AM, 33, FALSE) / VLOOKUP("buildings|SO2|Minor restricted activity days", US_national_yearly!$D:$AM, 10, FALSE), 1)</f>
        <v>1.4528158080530005</v>
      </c>
      <c r="Z14" s="7">
        <f>$B14 * IFERROR(VLOOKUP("buildings|SO2|Minor restricted activity days", US_national_yearly!$D:$AM, 34, FALSE) / VLOOKUP("buildings|SO2|Minor restricted activity days", US_national_yearly!$D:$AM, 10, FALSE), 1)</f>
        <v>1.4626141144137554</v>
      </c>
      <c r="AA14" s="7">
        <f>$B14 * IFERROR(VLOOKUP("buildings|SO2|Minor restricted activity days", US_national_yearly!$D:$AM, 35, FALSE) / VLOOKUP("buildings|SO2|Minor restricted activity days", US_national_yearly!$D:$AM, 10, FALSE), 1)</f>
        <v>1.4724124207745106</v>
      </c>
      <c r="AB14" s="7">
        <f>$B14 * IFERROR(VLOOKUP("buildings|SO2|Minor restricted activity days", US_national_yearly!$D:$AM, 36, FALSE) / VLOOKUP("buildings|SO2|Minor restricted activity days", US_national_yearly!$D:$AM, 10, FALSE), 1)</f>
        <v>1.4822107271352656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0.21362516985063862</v>
      </c>
      <c r="C15" s="7">
        <f>$B15 * IFERROR(VLOOKUP("buildings|SO2|Work loss days", US_national_yearly!$D:$AM, 11, FALSE) / VLOOKUP("buildings|SO2|Work loss days", US_national_yearly!$D:$AM, 10, FALSE), 1)</f>
        <v>0.21431923454852811</v>
      </c>
      <c r="D15" s="7">
        <f>$B15 * IFERROR(VLOOKUP("buildings|SO2|Work loss days", US_national_yearly!$D:$AM, 12, FALSE) / VLOOKUP("buildings|SO2|Work loss days", US_national_yearly!$D:$AM, 10, FALSE), 1)</f>
        <v>0.2150132992464176</v>
      </c>
      <c r="E15" s="7">
        <f>$B15 * IFERROR(VLOOKUP("buildings|SO2|Work loss days", US_national_yearly!$D:$AM, 13, FALSE) / VLOOKUP("buildings|SO2|Work loss days", US_national_yearly!$D:$AM, 10, FALSE), 1)</f>
        <v>0.21570736394430709</v>
      </c>
      <c r="F15" s="7">
        <f>$B15 * IFERROR(VLOOKUP("buildings|SO2|Work loss days", US_national_yearly!$D:$AM, 14, FALSE) / VLOOKUP("buildings|SO2|Work loss days", US_national_yearly!$D:$AM, 10, FALSE), 1)</f>
        <v>0.21640142864219655</v>
      </c>
      <c r="G15" s="7">
        <f>$B15 * IFERROR(VLOOKUP("buildings|SO2|Work loss days", US_national_yearly!$D:$AM, 15, FALSE) / VLOOKUP("buildings|SO2|Work loss days", US_national_yearly!$D:$AM, 10, FALSE), 1)</f>
        <v>0.21730791554622347</v>
      </c>
      <c r="H15" s="7">
        <f>$B15 * IFERROR(VLOOKUP("buildings|SO2|Work loss days", US_national_yearly!$D:$AM, 16, FALSE) / VLOOKUP("buildings|SO2|Work loss days", US_national_yearly!$D:$AM, 10, FALSE), 1)</f>
        <v>0.21821440245025045</v>
      </c>
      <c r="I15" s="7">
        <f>$B15 * IFERROR(VLOOKUP("buildings|SO2|Work loss days", US_national_yearly!$D:$AM, 17, FALSE) / VLOOKUP("buildings|SO2|Work loss days", US_national_yearly!$D:$AM, 10, FALSE), 1)</f>
        <v>0.21953973704197355</v>
      </c>
      <c r="J15" s="7">
        <f>$B15 * IFERROR(VLOOKUP("buildings|SO2|Work loss days", US_national_yearly!$D:$AM, 18, FALSE) / VLOOKUP("buildings|SO2|Work loss days", US_national_yearly!$D:$AM, 10, FALSE), 1)</f>
        <v>0.22086507163369659</v>
      </c>
      <c r="K15" s="7">
        <f>$B15 * IFERROR(VLOOKUP("buildings|SO2|Work loss days", US_national_yearly!$D:$AM, 19, FALSE) / VLOOKUP("buildings|SO2|Work loss days", US_national_yearly!$D:$AM, 10, FALSE), 1)</f>
        <v>0.22219040622541969</v>
      </c>
      <c r="L15" s="7">
        <f>$B15 * IFERROR(VLOOKUP("buildings|SO2|Work loss days", US_national_yearly!$D:$AM, 20, FALSE) / VLOOKUP("buildings|SO2|Work loss days", US_national_yearly!$D:$AM, 10, FALSE), 1)</f>
        <v>0.22351574081714273</v>
      </c>
      <c r="M15" s="7">
        <f>$B15 * IFERROR(VLOOKUP("buildings|SO2|Work loss days", US_national_yearly!$D:$AM, 21, FALSE) / VLOOKUP("buildings|SO2|Work loss days", US_national_yearly!$D:$AM, 10, FALSE), 1)</f>
        <v>0.22484107540886575</v>
      </c>
      <c r="N15" s="7">
        <f>$B15 * IFERROR(VLOOKUP("buildings|SO2|Work loss days", US_national_yearly!$D:$AM, 22, FALSE) / VLOOKUP("buildings|SO2|Work loss days", US_national_yearly!$D:$AM, 10, FALSE), 1)</f>
        <v>0.22650302327620259</v>
      </c>
      <c r="O15" s="7">
        <f>$B15 * IFERROR(VLOOKUP("buildings|SO2|Work loss days", US_national_yearly!$D:$AM, 23, FALSE) / VLOOKUP("buildings|SO2|Work loss days", US_national_yearly!$D:$AM, 10, FALSE), 1)</f>
        <v>0.22816497114353937</v>
      </c>
      <c r="P15" s="7">
        <f>$B15 * IFERROR(VLOOKUP("buildings|SO2|Work loss days", US_national_yearly!$D:$AM, 24, FALSE) / VLOOKUP("buildings|SO2|Work loss days", US_national_yearly!$D:$AM, 10, FALSE), 1)</f>
        <v>0.22982691901087612</v>
      </c>
      <c r="Q15" s="7">
        <f>$B15 * IFERROR(VLOOKUP("buildings|SO2|Work loss days", US_national_yearly!$D:$AM, 25, FALSE) / VLOOKUP("buildings|SO2|Work loss days", US_national_yearly!$D:$AM, 10, FALSE), 1)</f>
        <v>0.23148886687821296</v>
      </c>
      <c r="R15" s="7">
        <f>$B15 * IFERROR(VLOOKUP("buildings|SO2|Work loss days", US_national_yearly!$D:$AM, 26, FALSE) / VLOOKUP("buildings|SO2|Work loss days", US_national_yearly!$D:$AM, 10, FALSE), 1)</f>
        <v>0.23315081474554969</v>
      </c>
      <c r="S15" s="7">
        <f>$B15 * IFERROR(VLOOKUP("buildings|SO2|Work loss days", US_national_yearly!$D:$AM, 27, FALSE) / VLOOKUP("buildings|SO2|Work loss days", US_national_yearly!$D:$AM, 10, FALSE), 1)</f>
        <v>0.23500735609089909</v>
      </c>
      <c r="T15" s="7">
        <f>$B15 * IFERROR(VLOOKUP("buildings|SO2|Work loss days", US_national_yearly!$D:$AM, 28, FALSE) / VLOOKUP("buildings|SO2|Work loss days", US_national_yearly!$D:$AM, 10, FALSE), 1)</f>
        <v>0.23686389743624853</v>
      </c>
      <c r="U15" s="7">
        <f>$B15 * IFERROR(VLOOKUP("buildings|SO2|Work loss days", US_national_yearly!$D:$AM, 29, FALSE) / VLOOKUP("buildings|SO2|Work loss days", US_national_yearly!$D:$AM, 10, FALSE), 1)</f>
        <v>0.23872043878159796</v>
      </c>
      <c r="V15" s="7">
        <f>$B15 * IFERROR(VLOOKUP("buildings|SO2|Work loss days", US_national_yearly!$D:$AM, 30, FALSE) / VLOOKUP("buildings|SO2|Work loss days", US_national_yearly!$D:$AM, 10, FALSE), 1)</f>
        <v>0.24057698012694734</v>
      </c>
      <c r="W15" s="7">
        <f>$B15 * IFERROR(VLOOKUP("buildings|SO2|Work loss days", US_national_yearly!$D:$AM, 31, FALSE) / VLOOKUP("buildings|SO2|Work loss days", US_national_yearly!$D:$AM, 10, FALSE), 1)</f>
        <v>0.24243352147229677</v>
      </c>
      <c r="X15" s="7">
        <f>$B15 * IFERROR(VLOOKUP("buildings|SO2|Work loss days", US_national_yearly!$D:$AM, 32, FALSE) / VLOOKUP("buildings|SO2|Work loss days", US_national_yearly!$D:$AM, 10, FALSE), 1)</f>
        <v>0.24410047676255947</v>
      </c>
      <c r="Y15" s="7">
        <f>$B15 * IFERROR(VLOOKUP("buildings|SO2|Work loss days", US_national_yearly!$D:$AM, 33, FALSE) / VLOOKUP("buildings|SO2|Work loss days", US_national_yearly!$D:$AM, 10, FALSE), 1)</f>
        <v>0.2457674320528222</v>
      </c>
      <c r="Z15" s="7">
        <f>$B15 * IFERROR(VLOOKUP("buildings|SO2|Work loss days", US_national_yearly!$D:$AM, 34, FALSE) / VLOOKUP("buildings|SO2|Work loss days", US_national_yearly!$D:$AM, 10, FALSE), 1)</f>
        <v>0.24743438734308487</v>
      </c>
      <c r="AA15" s="7">
        <f>$B15 * IFERROR(VLOOKUP("buildings|SO2|Work loss days", US_national_yearly!$D:$AM, 35, FALSE) / VLOOKUP("buildings|SO2|Work loss days", US_national_yearly!$D:$AM, 10, FALSE), 1)</f>
        <v>0.2491013426333476</v>
      </c>
      <c r="AB15" s="7">
        <f>$B15 * IFERROR(VLOOKUP("buildings|SO2|Work loss days", US_national_yearly!$D:$AM, 36, FALSE) / VLOOKUP("buildings|SO2|Work loss days", US_national_yearly!$D:$AM, 10, FALSE), 1)</f>
        <v>0.25076829792361027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4.0651717735944913E-4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4.1881406119196338E-4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4.3111094502447757E-4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4.4340782885699193E-4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4.5570471268950612E-4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4.6748439083361439E-4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4.7926406897772259E-4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4.8935922941736832E-4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4.9945438985701395E-4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5.0954955029665968E-4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5.1964471073630541E-4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5.2973987117595103E-4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5.3651856909292994E-4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5.4329726700990885E-4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5.5007596492688787E-4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5.5685466284386667E-4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5.6363336076084558E-4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5.6719813479728725E-4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5.7076290883372881E-4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5.7432768287017037E-4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5.7789245690661204E-4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5.8145723094305349E-4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5.8385098472228875E-4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5.862447385015238E-4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5.8863849228075885E-4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5.9103224605999412E-4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5.9342599983922917E-4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3.8731522587480242E-2</v>
      </c>
      <c r="C2" s="7">
        <f>$B2 * IFERROR(VLOOKUP("industry|PM25|Premature mortality", US_national_yearly!$D:$AM, 11, FALSE) / VLOOKUP("industry|PM25|Premature mortality", US_national_yearly!$D:$AM, 10, FALSE), 1)</f>
        <v>3.9213856614222331E-2</v>
      </c>
      <c r="D2" s="7">
        <f>$B2 * IFERROR(VLOOKUP("industry|PM25|Premature mortality", US_national_yearly!$D:$AM, 12, FALSE) / VLOOKUP("industry|PM25|Premature mortality", US_national_yearly!$D:$AM, 10, FALSE), 1)</f>
        <v>3.9696190640964413E-2</v>
      </c>
      <c r="E2" s="7">
        <f>$B2 * IFERROR(VLOOKUP("industry|PM25|Premature mortality", US_national_yearly!$D:$AM, 13, FALSE) / VLOOKUP("industry|PM25|Premature mortality", US_national_yearly!$D:$AM, 10, FALSE), 1)</f>
        <v>4.0178524667706508E-2</v>
      </c>
      <c r="F2" s="7">
        <f>$B2 * IFERROR(VLOOKUP("industry|PM25|Premature mortality", US_national_yearly!$D:$AM, 14, FALSE) / VLOOKUP("industry|PM25|Premature mortality", US_national_yearly!$D:$AM, 10, FALSE), 1)</f>
        <v>4.066085869444859E-2</v>
      </c>
      <c r="G2" s="7">
        <f>$B2 * IFERROR(VLOOKUP("industry|PM25|Premature mortality", US_national_yearly!$D:$AM, 15, FALSE) / VLOOKUP("industry|PM25|Premature mortality", US_national_yearly!$D:$AM, 10, FALSE), 1)</f>
        <v>4.159923205164761E-2</v>
      </c>
      <c r="H2" s="7">
        <f>$B2 * IFERROR(VLOOKUP("industry|PM25|Premature mortality", US_national_yearly!$D:$AM, 16, FALSE) / VLOOKUP("industry|PM25|Premature mortality", US_national_yearly!$D:$AM, 10, FALSE), 1)</f>
        <v>4.2537605408846622E-2</v>
      </c>
      <c r="I2" s="7">
        <f>$B2 * IFERROR(VLOOKUP("industry|PM25|Premature mortality", US_national_yearly!$D:$AM, 17, FALSE) / VLOOKUP("industry|PM25|Premature mortality", US_national_yearly!$D:$AM, 10, FALSE), 1)</f>
        <v>4.3157210217148162E-2</v>
      </c>
      <c r="J2" s="7">
        <f>$B2 * IFERROR(VLOOKUP("industry|PM25|Premature mortality", US_national_yearly!$D:$AM, 18, FALSE) / VLOOKUP("industry|PM25|Premature mortality", US_national_yearly!$D:$AM, 10, FALSE), 1)</f>
        <v>4.3776815025449695E-2</v>
      </c>
      <c r="K2" s="7">
        <f>$B2 * IFERROR(VLOOKUP("industry|PM25|Premature mortality", US_national_yearly!$D:$AM, 19, FALSE) / VLOOKUP("industry|PM25|Premature mortality", US_national_yearly!$D:$AM, 10, FALSE), 1)</f>
        <v>4.439641983375122E-2</v>
      </c>
      <c r="L2" s="7">
        <f>$B2 * IFERROR(VLOOKUP("industry|PM25|Premature mortality", US_national_yearly!$D:$AM, 20, FALSE) / VLOOKUP("industry|PM25|Premature mortality", US_national_yearly!$D:$AM, 10, FALSE), 1)</f>
        <v>4.5016024642052753E-2</v>
      </c>
      <c r="M2" s="7">
        <f>$B2 * IFERROR(VLOOKUP("industry|PM25|Premature mortality", US_national_yearly!$D:$AM, 21, FALSE) / VLOOKUP("industry|PM25|Premature mortality", US_national_yearly!$D:$AM, 10, FALSE), 1)</f>
        <v>4.5635629450354286E-2</v>
      </c>
      <c r="N2" s="7">
        <f>$B2 * IFERROR(VLOOKUP("industry|PM25|Premature mortality", US_national_yearly!$D:$AM, 22, FALSE) / VLOOKUP("industry|PM25|Premature mortality", US_national_yearly!$D:$AM, 10, FALSE), 1)</f>
        <v>4.6118354570290135E-2</v>
      </c>
      <c r="O2" s="7">
        <f>$B2 * IFERROR(VLOOKUP("industry|PM25|Premature mortality", US_national_yearly!$D:$AM, 23, FALSE) / VLOOKUP("industry|PM25|Premature mortality", US_national_yearly!$D:$AM, 10, FALSE), 1)</f>
        <v>4.660107969022597E-2</v>
      </c>
      <c r="P2" s="7">
        <f>$B2 * IFERROR(VLOOKUP("industry|PM25|Premature mortality", US_national_yearly!$D:$AM, 24, FALSE) / VLOOKUP("industry|PM25|Premature mortality", US_national_yearly!$D:$AM, 10, FALSE), 1)</f>
        <v>4.7083804810161813E-2</v>
      </c>
      <c r="Q2" s="7">
        <f>$B2 * IFERROR(VLOOKUP("industry|PM25|Premature mortality", US_national_yearly!$D:$AM, 25, FALSE) / VLOOKUP("industry|PM25|Premature mortality", US_national_yearly!$D:$AM, 10, FALSE), 1)</f>
        <v>4.7566529930097655E-2</v>
      </c>
      <c r="R2" s="7">
        <f>$B2 * IFERROR(VLOOKUP("industry|PM25|Premature mortality", US_national_yearly!$D:$AM, 26, FALSE) / VLOOKUP("industry|PM25|Premature mortality", US_national_yearly!$D:$AM, 10, FALSE), 1)</f>
        <v>4.8049255050033497E-2</v>
      </c>
      <c r="S2" s="7">
        <f>$B2 * IFERROR(VLOOKUP("industry|PM25|Premature mortality", US_national_yearly!$D:$AM, 27, FALSE) / VLOOKUP("industry|PM25|Premature mortality", US_national_yearly!$D:$AM, 10, FALSE), 1)</f>
        <v>4.8309908710657677E-2</v>
      </c>
      <c r="T2" s="7">
        <f>$B2 * IFERROR(VLOOKUP("industry|PM25|Premature mortality", US_national_yearly!$D:$AM, 28, FALSE) / VLOOKUP("industry|PM25|Premature mortality", US_national_yearly!$D:$AM, 10, FALSE), 1)</f>
        <v>4.8570562371281864E-2</v>
      </c>
      <c r="U2" s="7">
        <f>$B2 * IFERROR(VLOOKUP("industry|PM25|Premature mortality", US_national_yearly!$D:$AM, 29, FALSE) / VLOOKUP("industry|PM25|Premature mortality", US_national_yearly!$D:$AM, 10, FALSE), 1)</f>
        <v>4.8831216031906065E-2</v>
      </c>
      <c r="V2" s="7">
        <f>$B2 * IFERROR(VLOOKUP("industry|PM25|Premature mortality", US_national_yearly!$D:$AM, 30, FALSE) / VLOOKUP("industry|PM25|Premature mortality", US_national_yearly!$D:$AM, 10, FALSE), 1)</f>
        <v>4.9091869692530252E-2</v>
      </c>
      <c r="W2" s="7">
        <f>$B2 * IFERROR(VLOOKUP("industry|PM25|Premature mortality", US_national_yearly!$D:$AM, 31, FALSE) / VLOOKUP("industry|PM25|Premature mortality", US_national_yearly!$D:$AM, 10, FALSE), 1)</f>
        <v>4.9352523353154439E-2</v>
      </c>
      <c r="X2" s="7">
        <f>$B2 * IFERROR(VLOOKUP("industry|PM25|Premature mortality", US_national_yearly!$D:$AM, 32, FALSE) / VLOOKUP("industry|PM25|Premature mortality", US_national_yearly!$D:$AM, 10, FALSE), 1)</f>
        <v>4.9406339197994982E-2</v>
      </c>
      <c r="Y2" s="7">
        <f>$B2 * IFERROR(VLOOKUP("industry|PM25|Premature mortality", US_national_yearly!$D:$AM, 33, FALSE) / VLOOKUP("industry|PM25|Premature mortality", US_national_yearly!$D:$AM, 10, FALSE), 1)</f>
        <v>4.9460155042835553E-2</v>
      </c>
      <c r="Z2" s="7">
        <f>$B2 * IFERROR(VLOOKUP("industry|PM25|Premature mortality", US_national_yearly!$D:$AM, 34, FALSE) / VLOOKUP("industry|PM25|Premature mortality", US_national_yearly!$D:$AM, 10, FALSE), 1)</f>
        <v>4.9513970887676097E-2</v>
      </c>
      <c r="AA2" s="7">
        <f>$B2 * IFERROR(VLOOKUP("industry|PM25|Premature mortality", US_national_yearly!$D:$AM, 35, FALSE) / VLOOKUP("industry|PM25|Premature mortality", US_national_yearly!$D:$AM, 10, FALSE), 1)</f>
        <v>4.9567786732516654E-2</v>
      </c>
      <c r="AB2" s="7">
        <f>$B2 * IFERROR(VLOOKUP("industry|PM25|Premature mortality", US_national_yearly!$D:$AM, 36, FALSE) / VLOOKUP("industry|PM25|Premature mortality", US_national_yearly!$D:$AM, 10, FALSE), 1)</f>
        <v>4.9621602577357211E-2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6.1569149981200398E-5</v>
      </c>
      <c r="C3" s="7">
        <f>$B3 * IFERROR(VLOOKUP("industry|PM25|Infant mortality", US_national_yearly!$D:$AM, 11, FALSE) / VLOOKUP("industry|PM25|Infant mortality", US_national_yearly!$D:$AM, 10, FALSE), 1)</f>
        <v>6.1033076698545915E-5</v>
      </c>
      <c r="D3" s="7">
        <f>$B3 * IFERROR(VLOOKUP("industry|PM25|Infant mortality", US_national_yearly!$D:$AM, 12, FALSE) / VLOOKUP("industry|PM25|Infant mortality", US_national_yearly!$D:$AM, 10, FALSE), 1)</f>
        <v>6.0497003415891431E-5</v>
      </c>
      <c r="E3" s="7">
        <f>$B3 * IFERROR(VLOOKUP("industry|PM25|Infant mortality", US_national_yearly!$D:$AM, 13, FALSE) / VLOOKUP("industry|PM25|Infant mortality", US_national_yearly!$D:$AM, 10, FALSE), 1)</f>
        <v>5.9960930133236933E-5</v>
      </c>
      <c r="F3" s="7">
        <f>$B3 * IFERROR(VLOOKUP("industry|PM25|Infant mortality", US_national_yearly!$D:$AM, 14, FALSE) / VLOOKUP("industry|PM25|Infant mortality", US_national_yearly!$D:$AM, 10, FALSE), 1)</f>
        <v>5.9424856850582449E-5</v>
      </c>
      <c r="G3" s="7">
        <f>$B3 * IFERROR(VLOOKUP("industry|PM25|Infant mortality", US_national_yearly!$D:$AM, 15, FALSE) / VLOOKUP("industry|PM25|Infant mortality", US_national_yearly!$D:$AM, 10, FALSE), 1)</f>
        <v>3.9483954938706474E-5</v>
      </c>
      <c r="H3" s="7">
        <f>$B3 * IFERROR(VLOOKUP("industry|PM25|Infant mortality", US_national_yearly!$D:$AM, 16, FALSE) / VLOOKUP("industry|PM25|Infant mortality", US_national_yearly!$D:$AM, 10, FALSE), 1)</f>
        <v>1.9543053026830501E-5</v>
      </c>
      <c r="I3" s="7">
        <f>$B3 * IFERROR(VLOOKUP("industry|PM25|Infant mortality", US_national_yearly!$D:$AM, 17, FALSE) / VLOOKUP("industry|PM25|Infant mortality", US_national_yearly!$D:$AM, 10, FALSE), 1)</f>
        <v>1.9412974733362319E-5</v>
      </c>
      <c r="J3" s="7">
        <f>$B3 * IFERROR(VLOOKUP("industry|PM25|Infant mortality", US_national_yearly!$D:$AM, 18, FALSE) / VLOOKUP("industry|PM25|Infant mortality", US_national_yearly!$D:$AM, 10, FALSE), 1)</f>
        <v>1.9282896439894137E-5</v>
      </c>
      <c r="K3" s="7">
        <f>$B3 * IFERROR(VLOOKUP("industry|PM25|Infant mortality", US_national_yearly!$D:$AM, 19, FALSE) / VLOOKUP("industry|PM25|Infant mortality", US_national_yearly!$D:$AM, 10, FALSE), 1)</f>
        <v>1.9152818146425959E-5</v>
      </c>
      <c r="L3" s="7">
        <f>$B3 * IFERROR(VLOOKUP("industry|PM25|Infant mortality", US_national_yearly!$D:$AM, 20, FALSE) / VLOOKUP("industry|PM25|Infant mortality", US_national_yearly!$D:$AM, 10, FALSE), 1)</f>
        <v>1.9022739852957773E-5</v>
      </c>
      <c r="M3" s="7">
        <f>$B3 * IFERROR(VLOOKUP("industry|PM25|Infant mortality", US_national_yearly!$D:$AM, 21, FALSE) / VLOOKUP("industry|PM25|Infant mortality", US_national_yearly!$D:$AM, 10, FALSE), 1)</f>
        <v>1.8892661559489595E-5</v>
      </c>
      <c r="N3" s="7">
        <f>$B3 * IFERROR(VLOOKUP("industry|PM25|Infant mortality", US_national_yearly!$D:$AM, 22, FALSE) / VLOOKUP("industry|PM25|Infant mortality", US_national_yearly!$D:$AM, 10, FALSE), 1)</f>
        <v>1.880965894134524E-5</v>
      </c>
      <c r="O3" s="7">
        <f>$B3 * IFERROR(VLOOKUP("industry|PM25|Infant mortality", US_national_yearly!$D:$AM, 23, FALSE) / VLOOKUP("industry|PM25|Infant mortality", US_national_yearly!$D:$AM, 10, FALSE), 1)</f>
        <v>1.8726656323200889E-5</v>
      </c>
      <c r="P3" s="7">
        <f>$B3 * IFERROR(VLOOKUP("industry|PM25|Infant mortality", US_national_yearly!$D:$AM, 24, FALSE) / VLOOKUP("industry|PM25|Infant mortality", US_national_yearly!$D:$AM, 10, FALSE), 1)</f>
        <v>1.8643653705056541E-5</v>
      </c>
      <c r="Q3" s="7">
        <f>$B3 * IFERROR(VLOOKUP("industry|PM25|Infant mortality", US_national_yearly!$D:$AM, 25, FALSE) / VLOOKUP("industry|PM25|Infant mortality", US_national_yearly!$D:$AM, 10, FALSE), 1)</f>
        <v>1.8560651086912187E-5</v>
      </c>
      <c r="R3" s="7">
        <f>$B3 * IFERROR(VLOOKUP("industry|PM25|Infant mortality", US_national_yearly!$D:$AM, 26, FALSE) / VLOOKUP("industry|PM25|Infant mortality", US_national_yearly!$D:$AM, 10, FALSE), 1)</f>
        <v>1.8477648468767835E-5</v>
      </c>
      <c r="S3" s="7">
        <f>$B3 * IFERROR(VLOOKUP("industry|PM25|Infant mortality", US_national_yearly!$D:$AM, 27, FALSE) / VLOOKUP("industry|PM25|Infant mortality", US_national_yearly!$D:$AM, 10, FALSE), 1)</f>
        <v>1.8375562742787356E-5</v>
      </c>
      <c r="T3" s="7">
        <f>$B3 * IFERROR(VLOOKUP("industry|PM25|Infant mortality", US_national_yearly!$D:$AM, 28, FALSE) / VLOOKUP("industry|PM25|Infant mortality", US_national_yearly!$D:$AM, 10, FALSE), 1)</f>
        <v>1.8273477016806876E-5</v>
      </c>
      <c r="U3" s="7">
        <f>$B3 * IFERROR(VLOOKUP("industry|PM25|Infant mortality", US_national_yearly!$D:$AM, 29, FALSE) / VLOOKUP("industry|PM25|Infant mortality", US_national_yearly!$D:$AM, 10, FALSE), 1)</f>
        <v>1.8171391290826396E-5</v>
      </c>
      <c r="V3" s="7">
        <f>$B3 * IFERROR(VLOOKUP("industry|PM25|Infant mortality", US_national_yearly!$D:$AM, 30, FALSE) / VLOOKUP("industry|PM25|Infant mortality", US_national_yearly!$D:$AM, 10, FALSE), 1)</f>
        <v>1.8069305564845917E-5</v>
      </c>
      <c r="W3" s="7">
        <f>$B3 * IFERROR(VLOOKUP("industry|PM25|Infant mortality", US_national_yearly!$D:$AM, 31, FALSE) / VLOOKUP("industry|PM25|Infant mortality", US_national_yearly!$D:$AM, 10, FALSE), 1)</f>
        <v>1.7967219838865437E-5</v>
      </c>
      <c r="X3" s="7">
        <f>$B3 * IFERROR(VLOOKUP("industry|PM25|Infant mortality", US_national_yearly!$D:$AM, 32, FALSE) / VLOOKUP("industry|PM25|Infant mortality", US_national_yearly!$D:$AM, 10, FALSE), 1)</f>
        <v>1.7858128448959467E-5</v>
      </c>
      <c r="Y3" s="7">
        <f>$B3 * IFERROR(VLOOKUP("industry|PM25|Infant mortality", US_national_yearly!$D:$AM, 33, FALSE) / VLOOKUP("industry|PM25|Infant mortality", US_national_yearly!$D:$AM, 10, FALSE), 1)</f>
        <v>1.7749037059053494E-5</v>
      </c>
      <c r="Z3" s="7">
        <f>$B3 * IFERROR(VLOOKUP("industry|PM25|Infant mortality", US_national_yearly!$D:$AM, 34, FALSE) / VLOOKUP("industry|PM25|Infant mortality", US_national_yearly!$D:$AM, 10, FALSE), 1)</f>
        <v>1.7639945669147521E-5</v>
      </c>
      <c r="AA3" s="7">
        <f>$B3 * IFERROR(VLOOKUP("industry|PM25|Infant mortality", US_national_yearly!$D:$AM, 35, FALSE) / VLOOKUP("industry|PM25|Infant mortality", US_national_yearly!$D:$AM, 10, FALSE), 1)</f>
        <v>1.7530854279241551E-5</v>
      </c>
      <c r="AB3" s="7">
        <f>$B3 * IFERROR(VLOOKUP("industry|PM25|Infant mortality", US_national_yearly!$D:$AM, 36, FALSE) / VLOOKUP("industry|PM25|Infant mortality", US_national_yearly!$D:$AM, 10, FALSE), 1)</f>
        <v>1.7421762889335578E-5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9.4569344247990433E-2</v>
      </c>
      <c r="C6" s="7">
        <f>$B6 * IFERROR(VLOOKUP("industry|PM25|Asthma symptoms cough", US_national_yearly!$D:$AM, 11, FALSE) / VLOOKUP("industry|PM25|Asthma symptoms cough", US_national_yearly!$D:$AM, 10, FALSE), 1)</f>
        <v>9.4569344247990433E-2</v>
      </c>
      <c r="D6" s="7">
        <f>$B6 * IFERROR(VLOOKUP("industry|PM25|Asthma symptoms cough", US_national_yearly!$D:$AM, 12, FALSE) / VLOOKUP("industry|PM25|Asthma symptoms cough", US_national_yearly!$D:$AM, 10, FALSE), 1)</f>
        <v>9.4569344247990433E-2</v>
      </c>
      <c r="E6" s="7">
        <f>$B6 * IFERROR(VLOOKUP("industry|PM25|Asthma symptoms cough", US_national_yearly!$D:$AM, 13, FALSE) / VLOOKUP("industry|PM25|Asthma symptoms cough", US_national_yearly!$D:$AM, 10, FALSE), 1)</f>
        <v>9.4569344247990433E-2</v>
      </c>
      <c r="F6" s="7">
        <f>$B6 * IFERROR(VLOOKUP("industry|PM25|Asthma symptoms cough", US_national_yearly!$D:$AM, 14, FALSE) / VLOOKUP("industry|PM25|Asthma symptoms cough", US_national_yearly!$D:$AM, 10, FALSE), 1)</f>
        <v>9.4569344247990433E-2</v>
      </c>
      <c r="G6" s="7">
        <f>$B6 * IFERROR(VLOOKUP("industry|PM25|Asthma symptoms cough", US_national_yearly!$D:$AM, 15, FALSE) / VLOOKUP("industry|PM25|Asthma symptoms cough", US_national_yearly!$D:$AM, 10, FALSE), 1)</f>
        <v>9.4569344247990433E-2</v>
      </c>
      <c r="H6" s="7">
        <f>$B6 * IFERROR(VLOOKUP("industry|PM25|Asthma symptoms cough", US_national_yearly!$D:$AM, 16, FALSE) / VLOOKUP("industry|PM25|Asthma symptoms cough", US_national_yearly!$D:$AM, 10, FALSE), 1)</f>
        <v>9.4569344247990433E-2</v>
      </c>
      <c r="I6" s="7">
        <f>$B6 * IFERROR(VLOOKUP("industry|PM25|Asthma symptoms cough", US_national_yearly!$D:$AM, 17, FALSE) / VLOOKUP("industry|PM25|Asthma symptoms cough", US_national_yearly!$D:$AM, 10, FALSE), 1)</f>
        <v>9.4569344247990433E-2</v>
      </c>
      <c r="J6" s="7">
        <f>$B6 * IFERROR(VLOOKUP("industry|PM25|Asthma symptoms cough", US_national_yearly!$D:$AM, 18, FALSE) / VLOOKUP("industry|PM25|Asthma symptoms cough", US_national_yearly!$D:$AM, 10, FALSE), 1)</f>
        <v>9.4569344247990433E-2</v>
      </c>
      <c r="K6" s="7">
        <f>$B6 * IFERROR(VLOOKUP("industry|PM25|Asthma symptoms cough", US_national_yearly!$D:$AM, 19, FALSE) / VLOOKUP("industry|PM25|Asthma symptoms cough", US_national_yearly!$D:$AM, 10, FALSE), 1)</f>
        <v>9.4569344247990433E-2</v>
      </c>
      <c r="L6" s="7">
        <f>$B6 * IFERROR(VLOOKUP("industry|PM25|Asthma symptoms cough", US_national_yearly!$D:$AM, 20, FALSE) / VLOOKUP("industry|PM25|Asthma symptoms cough", US_national_yearly!$D:$AM, 10, FALSE), 1)</f>
        <v>9.4569344247990433E-2</v>
      </c>
      <c r="M6" s="7">
        <f>$B6 * IFERROR(VLOOKUP("industry|PM25|Asthma symptoms cough", US_national_yearly!$D:$AM, 21, FALSE) / VLOOKUP("industry|PM25|Asthma symptoms cough", US_national_yearly!$D:$AM, 10, FALSE), 1)</f>
        <v>9.4569344247990433E-2</v>
      </c>
      <c r="N6" s="7">
        <f>$B6 * IFERROR(VLOOKUP("industry|PM25|Asthma symptoms cough", US_national_yearly!$D:$AM, 22, FALSE) / VLOOKUP("industry|PM25|Asthma symptoms cough", US_national_yearly!$D:$AM, 10, FALSE), 1)</f>
        <v>9.4569344247990433E-2</v>
      </c>
      <c r="O6" s="7">
        <f>$B6 * IFERROR(VLOOKUP("industry|PM25|Asthma symptoms cough", US_national_yearly!$D:$AM, 23, FALSE) / VLOOKUP("industry|PM25|Asthma symptoms cough", US_national_yearly!$D:$AM, 10, FALSE), 1)</f>
        <v>9.4569344247990433E-2</v>
      </c>
      <c r="P6" s="7">
        <f>$B6 * IFERROR(VLOOKUP("industry|PM25|Asthma symptoms cough", US_national_yearly!$D:$AM, 24, FALSE) / VLOOKUP("industry|PM25|Asthma symptoms cough", US_national_yearly!$D:$AM, 10, FALSE), 1)</f>
        <v>9.4569344247990433E-2</v>
      </c>
      <c r="Q6" s="7">
        <f>$B6 * IFERROR(VLOOKUP("industry|PM25|Asthma symptoms cough", US_national_yearly!$D:$AM, 25, FALSE) / VLOOKUP("industry|PM25|Asthma symptoms cough", US_national_yearly!$D:$AM, 10, FALSE), 1)</f>
        <v>9.4569344247990433E-2</v>
      </c>
      <c r="R6" s="7">
        <f>$B6 * IFERROR(VLOOKUP("industry|PM25|Asthma symptoms cough", US_national_yearly!$D:$AM, 26, FALSE) / VLOOKUP("industry|PM25|Asthma symptoms cough", US_national_yearly!$D:$AM, 10, FALSE), 1)</f>
        <v>9.4569344247990433E-2</v>
      </c>
      <c r="S6" s="7">
        <f>$B6 * IFERROR(VLOOKUP("industry|PM25|Asthma symptoms cough", US_national_yearly!$D:$AM, 27, FALSE) / VLOOKUP("industry|PM25|Asthma symptoms cough", US_national_yearly!$D:$AM, 10, FALSE), 1)</f>
        <v>9.4569344247990433E-2</v>
      </c>
      <c r="T6" s="7">
        <f>$B6 * IFERROR(VLOOKUP("industry|PM25|Asthma symptoms cough", US_national_yearly!$D:$AM, 28, FALSE) / VLOOKUP("industry|PM25|Asthma symptoms cough", US_national_yearly!$D:$AM, 10, FALSE), 1)</f>
        <v>9.4569344247990433E-2</v>
      </c>
      <c r="U6" s="7">
        <f>$B6 * IFERROR(VLOOKUP("industry|PM25|Asthma symptoms cough", US_national_yearly!$D:$AM, 29, FALSE) / VLOOKUP("industry|PM25|Asthma symptoms cough", US_national_yearly!$D:$AM, 10, FALSE), 1)</f>
        <v>9.4569344247990433E-2</v>
      </c>
      <c r="V6" s="7">
        <f>$B6 * IFERROR(VLOOKUP("industry|PM25|Asthma symptoms cough", US_national_yearly!$D:$AM, 30, FALSE) / VLOOKUP("industry|PM25|Asthma symptoms cough", US_national_yearly!$D:$AM, 10, FALSE), 1)</f>
        <v>9.4569344247990433E-2</v>
      </c>
      <c r="W6" s="7">
        <f>$B6 * IFERROR(VLOOKUP("industry|PM25|Asthma symptoms cough", US_national_yearly!$D:$AM, 31, FALSE) / VLOOKUP("industry|PM25|Asthma symptoms cough", US_national_yearly!$D:$AM, 10, FALSE), 1)</f>
        <v>9.4569344247990433E-2</v>
      </c>
      <c r="X6" s="7">
        <f>$B6 * IFERROR(VLOOKUP("industry|PM25|Asthma symptoms cough", US_national_yearly!$D:$AM, 32, FALSE) / VLOOKUP("industry|PM25|Asthma symptoms cough", US_national_yearly!$D:$AM, 10, FALSE), 1)</f>
        <v>9.4569344247990433E-2</v>
      </c>
      <c r="Y6" s="7">
        <f>$B6 * IFERROR(VLOOKUP("industry|PM25|Asthma symptoms cough", US_national_yearly!$D:$AM, 33, FALSE) / VLOOKUP("industry|PM25|Asthma symptoms cough", US_national_yearly!$D:$AM, 10, FALSE), 1)</f>
        <v>9.4569344247990433E-2</v>
      </c>
      <c r="Z6" s="7">
        <f>$B6 * IFERROR(VLOOKUP("industry|PM25|Asthma symptoms cough", US_national_yearly!$D:$AM, 34, FALSE) / VLOOKUP("industry|PM25|Asthma symptoms cough", US_national_yearly!$D:$AM, 10, FALSE), 1)</f>
        <v>9.4569344247990433E-2</v>
      </c>
      <c r="AA6" s="7">
        <f>$B6 * IFERROR(VLOOKUP("industry|PM25|Asthma symptoms cough", US_national_yearly!$D:$AM, 35, FALSE) / VLOOKUP("industry|PM25|Asthma symptoms cough", US_national_yearly!$D:$AM, 10, FALSE), 1)</f>
        <v>9.4569344247990433E-2</v>
      </c>
      <c r="AB6" s="7">
        <f>$B6 * IFERROR(VLOOKUP("industry|PM25|Asthma symptoms cough", US_national_yearly!$D:$AM, 36, FALSE) / VLOOKUP("industry|PM25|Asthma symptoms cough", US_national_yearly!$D:$AM, 10, FALSE), 1)</f>
        <v>9.4569344247990433E-2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0.12734231969344922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0.12734231969344922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0.12734231969344922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0.12734231969344922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0.12734231969344922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0.12734231969344922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0.12734231969344922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0.12734231969344922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0.12734231969344922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0.12734231969344922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0.12734231969344922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0.12734231969344922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0.12734231969344922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0.12734231969344922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0.12734231969344922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0.12734231969344922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0.12734231969344922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0.12734231969344922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0.12734231969344922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0.12734231969344922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0.12734231969344922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0.12734231969344922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0.12734231969344922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0.12734231969344922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0.12734231969344922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0.12734231969344922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0.12734231969344922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0.19458964529848</v>
      </c>
      <c r="C8" s="7">
        <f>$B8 * IFERROR(VLOOKUP("industry|PM25|Asthma symptoms wheeze", US_national_yearly!$D:$AM, 11, FALSE) / VLOOKUP("industry|PM25|Asthma symptoms wheeze", US_national_yearly!$D:$AM, 10, FALSE), 1)</f>
        <v>0.19458964529848</v>
      </c>
      <c r="D8" s="7">
        <f>$B8 * IFERROR(VLOOKUP("industry|PM25|Asthma symptoms wheeze", US_national_yearly!$D:$AM, 12, FALSE) / VLOOKUP("industry|PM25|Asthma symptoms wheeze", US_national_yearly!$D:$AM, 10, FALSE), 1)</f>
        <v>0.19458964529848</v>
      </c>
      <c r="E8" s="7">
        <f>$B8 * IFERROR(VLOOKUP("industry|PM25|Asthma symptoms wheeze", US_national_yearly!$D:$AM, 13, FALSE) / VLOOKUP("industry|PM25|Asthma symptoms wheeze", US_national_yearly!$D:$AM, 10, FALSE), 1)</f>
        <v>0.19458964529848</v>
      </c>
      <c r="F8" s="7">
        <f>$B8 * IFERROR(VLOOKUP("industry|PM25|Asthma symptoms wheeze", US_national_yearly!$D:$AM, 14, FALSE) / VLOOKUP("industry|PM25|Asthma symptoms wheeze", US_national_yearly!$D:$AM, 10, FALSE), 1)</f>
        <v>0.19458964529848</v>
      </c>
      <c r="G8" s="7">
        <f>$B8 * IFERROR(VLOOKUP("industry|PM25|Asthma symptoms wheeze", US_national_yearly!$D:$AM, 15, FALSE) / VLOOKUP("industry|PM25|Asthma symptoms wheeze", US_national_yearly!$D:$AM, 10, FALSE), 1)</f>
        <v>0.19458964529848</v>
      </c>
      <c r="H8" s="7">
        <f>$B8 * IFERROR(VLOOKUP("industry|PM25|Asthma symptoms wheeze", US_national_yearly!$D:$AM, 16, FALSE) / VLOOKUP("industry|PM25|Asthma symptoms wheeze", US_national_yearly!$D:$AM, 10, FALSE), 1)</f>
        <v>0.19458964529848</v>
      </c>
      <c r="I8" s="7">
        <f>$B8 * IFERROR(VLOOKUP("industry|PM25|Asthma symptoms wheeze", US_national_yearly!$D:$AM, 17, FALSE) / VLOOKUP("industry|PM25|Asthma symptoms wheeze", US_national_yearly!$D:$AM, 10, FALSE), 1)</f>
        <v>0.19458964529848</v>
      </c>
      <c r="J8" s="7">
        <f>$B8 * IFERROR(VLOOKUP("industry|PM25|Asthma symptoms wheeze", US_national_yearly!$D:$AM, 18, FALSE) / VLOOKUP("industry|PM25|Asthma symptoms wheeze", US_national_yearly!$D:$AM, 10, FALSE), 1)</f>
        <v>0.19458964529848</v>
      </c>
      <c r="K8" s="7">
        <f>$B8 * IFERROR(VLOOKUP("industry|PM25|Asthma symptoms wheeze", US_national_yearly!$D:$AM, 19, FALSE) / VLOOKUP("industry|PM25|Asthma symptoms wheeze", US_national_yearly!$D:$AM, 10, FALSE), 1)</f>
        <v>0.19458964529848</v>
      </c>
      <c r="L8" s="7">
        <f>$B8 * IFERROR(VLOOKUP("industry|PM25|Asthma symptoms wheeze", US_national_yearly!$D:$AM, 20, FALSE) / VLOOKUP("industry|PM25|Asthma symptoms wheeze", US_national_yearly!$D:$AM, 10, FALSE), 1)</f>
        <v>0.19458964529848</v>
      </c>
      <c r="M8" s="7">
        <f>$B8 * IFERROR(VLOOKUP("industry|PM25|Asthma symptoms wheeze", US_national_yearly!$D:$AM, 21, FALSE) / VLOOKUP("industry|PM25|Asthma symptoms wheeze", US_national_yearly!$D:$AM, 10, FALSE), 1)</f>
        <v>0.19458964529848</v>
      </c>
      <c r="N8" s="7">
        <f>$B8 * IFERROR(VLOOKUP("industry|PM25|Asthma symptoms wheeze", US_national_yearly!$D:$AM, 22, FALSE) / VLOOKUP("industry|PM25|Asthma symptoms wheeze", US_national_yearly!$D:$AM, 10, FALSE), 1)</f>
        <v>0.19458964529848</v>
      </c>
      <c r="O8" s="7">
        <f>$B8 * IFERROR(VLOOKUP("industry|PM25|Asthma symptoms wheeze", US_national_yearly!$D:$AM, 23, FALSE) / VLOOKUP("industry|PM25|Asthma symptoms wheeze", US_national_yearly!$D:$AM, 10, FALSE), 1)</f>
        <v>0.19458964529848</v>
      </c>
      <c r="P8" s="7">
        <f>$B8 * IFERROR(VLOOKUP("industry|PM25|Asthma symptoms wheeze", US_national_yearly!$D:$AM, 24, FALSE) / VLOOKUP("industry|PM25|Asthma symptoms wheeze", US_national_yearly!$D:$AM, 10, FALSE), 1)</f>
        <v>0.19458964529848</v>
      </c>
      <c r="Q8" s="7">
        <f>$B8 * IFERROR(VLOOKUP("industry|PM25|Asthma symptoms wheeze", US_national_yearly!$D:$AM, 25, FALSE) / VLOOKUP("industry|PM25|Asthma symptoms wheeze", US_national_yearly!$D:$AM, 10, FALSE), 1)</f>
        <v>0.19458964529848</v>
      </c>
      <c r="R8" s="7">
        <f>$B8 * IFERROR(VLOOKUP("industry|PM25|Asthma symptoms wheeze", US_national_yearly!$D:$AM, 26, FALSE) / VLOOKUP("industry|PM25|Asthma symptoms wheeze", US_national_yearly!$D:$AM, 10, FALSE), 1)</f>
        <v>0.19458964529848</v>
      </c>
      <c r="S8" s="7">
        <f>$B8 * IFERROR(VLOOKUP("industry|PM25|Asthma symptoms wheeze", US_national_yearly!$D:$AM, 27, FALSE) / VLOOKUP("industry|PM25|Asthma symptoms wheeze", US_national_yearly!$D:$AM, 10, FALSE), 1)</f>
        <v>0.19458964529848</v>
      </c>
      <c r="T8" s="7">
        <f>$B8 * IFERROR(VLOOKUP("industry|PM25|Asthma symptoms wheeze", US_national_yearly!$D:$AM, 28, FALSE) / VLOOKUP("industry|PM25|Asthma symptoms wheeze", US_national_yearly!$D:$AM, 10, FALSE), 1)</f>
        <v>0.19458964529848</v>
      </c>
      <c r="U8" s="7">
        <f>$B8 * IFERROR(VLOOKUP("industry|PM25|Asthma symptoms wheeze", US_national_yearly!$D:$AM, 29, FALSE) / VLOOKUP("industry|PM25|Asthma symptoms wheeze", US_national_yearly!$D:$AM, 10, FALSE), 1)</f>
        <v>0.19458964529848</v>
      </c>
      <c r="V8" s="7">
        <f>$B8 * IFERROR(VLOOKUP("industry|PM25|Asthma symptoms wheeze", US_national_yearly!$D:$AM, 30, FALSE) / VLOOKUP("industry|PM25|Asthma symptoms wheeze", US_national_yearly!$D:$AM, 10, FALSE), 1)</f>
        <v>0.19458964529848</v>
      </c>
      <c r="W8" s="7">
        <f>$B8 * IFERROR(VLOOKUP("industry|PM25|Asthma symptoms wheeze", US_national_yearly!$D:$AM, 31, FALSE) / VLOOKUP("industry|PM25|Asthma symptoms wheeze", US_national_yearly!$D:$AM, 10, FALSE), 1)</f>
        <v>0.19458964529848</v>
      </c>
      <c r="X8" s="7">
        <f>$B8 * IFERROR(VLOOKUP("industry|PM25|Asthma symptoms wheeze", US_national_yearly!$D:$AM, 32, FALSE) / VLOOKUP("industry|PM25|Asthma symptoms wheeze", US_national_yearly!$D:$AM, 10, FALSE), 1)</f>
        <v>0.19458964529848</v>
      </c>
      <c r="Y8" s="7">
        <f>$B8 * IFERROR(VLOOKUP("industry|PM25|Asthma symptoms wheeze", US_national_yearly!$D:$AM, 33, FALSE) / VLOOKUP("industry|PM25|Asthma symptoms wheeze", US_national_yearly!$D:$AM, 10, FALSE), 1)</f>
        <v>0.19458964529848</v>
      </c>
      <c r="Z8" s="7">
        <f>$B8 * IFERROR(VLOOKUP("industry|PM25|Asthma symptoms wheeze", US_national_yearly!$D:$AM, 34, FALSE) / VLOOKUP("industry|PM25|Asthma symptoms wheeze", US_national_yearly!$D:$AM, 10, FALSE), 1)</f>
        <v>0.19458964529848</v>
      </c>
      <c r="AA8" s="7">
        <f>$B8 * IFERROR(VLOOKUP("industry|PM25|Asthma symptoms wheeze", US_national_yearly!$D:$AM, 35, FALSE) / VLOOKUP("industry|PM25|Asthma symptoms wheeze", US_national_yearly!$D:$AM, 10, FALSE), 1)</f>
        <v>0.19458964529848</v>
      </c>
      <c r="AB8" s="7">
        <f>$B8 * IFERROR(VLOOKUP("industry|PM25|Asthma symptoms wheeze", US_national_yearly!$D:$AM, 36, FALSE) / VLOOKUP("industry|PM25|Asthma symptoms wheeze", US_national_yearly!$D:$AM, 10, FALSE), 1)</f>
        <v>0.19458964529848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3.1053881242121065E-3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3.1230191629719141E-3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3.1406502017317216E-3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3.1582812404915292E-3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3.1759122792513377E-3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3.1949747577483248E-3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3.2140372362453127E-3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3.2321203952824533E-3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3.2502035543195938E-3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3.2682867133567339E-3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3.2863698723938745E-3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3.3044530314310151E-3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3.3172427432656549E-3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3.330032455100294E-3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3.3428221669349338E-3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3.3556118787695728E-3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3.3684015906042127E-3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3.3804645500523705E-3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3.3925275095005288E-3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3.4045904689486875E-3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3.4166534283968453E-3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3.428716387845004E-3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3.4403312640052209E-3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3.4519461401654379E-3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3.4635610163256557E-3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3.4751758924858735E-3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3.4867907686460904E-3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1.7733485995268847E-2</v>
      </c>
      <c r="C13" s="7">
        <f>$B13 * IFERROR(VLOOKUP("industry|PM25|Non-fatal heart attacks", US_national_yearly!$D:$AM, 11, FALSE) / VLOOKUP("industry|PM25|Non-fatal heart attacks", US_national_yearly!$D:$AM, 10, FALSE), 1)</f>
        <v>1.8249712422415996E-2</v>
      </c>
      <c r="D13" s="7">
        <f>$B13 * IFERROR(VLOOKUP("industry|PM25|Non-fatal heart attacks", US_national_yearly!$D:$AM, 12, FALSE) / VLOOKUP("industry|PM25|Non-fatal heart attacks", US_national_yearly!$D:$AM, 10, FALSE), 1)</f>
        <v>1.8765938849563141E-2</v>
      </c>
      <c r="E13" s="7">
        <f>$B13 * IFERROR(VLOOKUP("industry|PM25|Non-fatal heart attacks", US_national_yearly!$D:$AM, 13, FALSE) / VLOOKUP("industry|PM25|Non-fatal heart attacks", US_national_yearly!$D:$AM, 10, FALSE), 1)</f>
        <v>1.9282165276710291E-2</v>
      </c>
      <c r="F13" s="7">
        <f>$B13 * IFERROR(VLOOKUP("industry|PM25|Non-fatal heart attacks", US_national_yearly!$D:$AM, 14, FALSE) / VLOOKUP("industry|PM25|Non-fatal heart attacks", US_national_yearly!$D:$AM, 10, FALSE), 1)</f>
        <v>1.979839170385744E-2</v>
      </c>
      <c r="G13" s="7">
        <f>$B13 * IFERROR(VLOOKUP("industry|PM25|Non-fatal heart attacks", US_national_yearly!$D:$AM, 15, FALSE) / VLOOKUP("industry|PM25|Non-fatal heart attacks", US_national_yearly!$D:$AM, 10, FALSE), 1)</f>
        <v>2.0285745748630974E-2</v>
      </c>
      <c r="H13" s="7">
        <f>$B13 * IFERROR(VLOOKUP("industry|PM25|Non-fatal heart attacks", US_national_yearly!$D:$AM, 16, FALSE) / VLOOKUP("industry|PM25|Non-fatal heart attacks", US_national_yearly!$D:$AM, 10, FALSE), 1)</f>
        <v>2.0773099793404508E-2</v>
      </c>
      <c r="I13" s="7">
        <f>$B13 * IFERROR(VLOOKUP("industry|PM25|Non-fatal heart attacks", US_national_yearly!$D:$AM, 17, FALSE) / VLOOKUP("industry|PM25|Non-fatal heart attacks", US_national_yearly!$D:$AM, 10, FALSE), 1)</f>
        <v>2.1166642685386983E-2</v>
      </c>
      <c r="J13" s="7">
        <f>$B13 * IFERROR(VLOOKUP("industry|PM25|Non-fatal heart attacks", US_national_yearly!$D:$AM, 18, FALSE) / VLOOKUP("industry|PM25|Non-fatal heart attacks", US_national_yearly!$D:$AM, 10, FALSE), 1)</f>
        <v>2.156018557736945E-2</v>
      </c>
      <c r="K13" s="7">
        <f>$B13 * IFERROR(VLOOKUP("industry|PM25|Non-fatal heart attacks", US_national_yearly!$D:$AM, 19, FALSE) / VLOOKUP("industry|PM25|Non-fatal heart attacks", US_national_yearly!$D:$AM, 10, FALSE), 1)</f>
        <v>2.1953728469351921E-2</v>
      </c>
      <c r="L13" s="7">
        <f>$B13 * IFERROR(VLOOKUP("industry|PM25|Non-fatal heart attacks", US_national_yearly!$D:$AM, 20, FALSE) / VLOOKUP("industry|PM25|Non-fatal heart attacks", US_national_yearly!$D:$AM, 10, FALSE), 1)</f>
        <v>2.2347271361334388E-2</v>
      </c>
      <c r="M13" s="7">
        <f>$B13 * IFERROR(VLOOKUP("industry|PM25|Non-fatal heart attacks", US_national_yearly!$D:$AM, 21, FALSE) / VLOOKUP("industry|PM25|Non-fatal heart attacks", US_national_yearly!$D:$AM, 10, FALSE), 1)</f>
        <v>2.2740814253316859E-2</v>
      </c>
      <c r="N13" s="7">
        <f>$B13 * IFERROR(VLOOKUP("industry|PM25|Non-fatal heart attacks", US_national_yearly!$D:$AM, 22, FALSE) / VLOOKUP("industry|PM25|Non-fatal heart attacks", US_national_yearly!$D:$AM, 10, FALSE), 1)</f>
        <v>2.2995261649751617E-2</v>
      </c>
      <c r="O13" s="7">
        <f>$B13 * IFERROR(VLOOKUP("industry|PM25|Non-fatal heart attacks", US_national_yearly!$D:$AM, 23, FALSE) / VLOOKUP("industry|PM25|Non-fatal heart attacks", US_national_yearly!$D:$AM, 10, FALSE), 1)</f>
        <v>2.3249709046186375E-2</v>
      </c>
      <c r="P13" s="7">
        <f>$B13 * IFERROR(VLOOKUP("industry|PM25|Non-fatal heart attacks", US_national_yearly!$D:$AM, 24, FALSE) / VLOOKUP("industry|PM25|Non-fatal heart attacks", US_national_yearly!$D:$AM, 10, FALSE), 1)</f>
        <v>2.3504156442621132E-2</v>
      </c>
      <c r="Q13" s="7">
        <f>$B13 * IFERROR(VLOOKUP("industry|PM25|Non-fatal heart attacks", US_national_yearly!$D:$AM, 25, FALSE) / VLOOKUP("industry|PM25|Non-fatal heart attacks", US_national_yearly!$D:$AM, 10, FALSE), 1)</f>
        <v>2.3758603839055883E-2</v>
      </c>
      <c r="R13" s="7">
        <f>$B13 * IFERROR(VLOOKUP("industry|PM25|Non-fatal heart attacks", US_national_yearly!$D:$AM, 26, FALSE) / VLOOKUP("industry|PM25|Non-fatal heart attacks", US_national_yearly!$D:$AM, 10, FALSE), 1)</f>
        <v>2.4013051235490641E-2</v>
      </c>
      <c r="S13" s="7">
        <f>$B13 * IFERROR(VLOOKUP("industry|PM25|Non-fatal heart attacks", US_national_yearly!$D:$AM, 27, FALSE) / VLOOKUP("industry|PM25|Non-fatal heart attacks", US_national_yearly!$D:$AM, 10, FALSE), 1)</f>
        <v>2.4148952554192835E-2</v>
      </c>
      <c r="T13" s="7">
        <f>$B13 * IFERROR(VLOOKUP("industry|PM25|Non-fatal heart attacks", US_national_yearly!$D:$AM, 28, FALSE) / VLOOKUP("industry|PM25|Non-fatal heart attacks", US_national_yearly!$D:$AM, 10, FALSE), 1)</f>
        <v>2.4284853872895036E-2</v>
      </c>
      <c r="U13" s="7">
        <f>$B13 * IFERROR(VLOOKUP("industry|PM25|Non-fatal heart attacks", US_national_yearly!$D:$AM, 29, FALSE) / VLOOKUP("industry|PM25|Non-fatal heart attacks", US_national_yearly!$D:$AM, 10, FALSE), 1)</f>
        <v>2.4420755191597237E-2</v>
      </c>
      <c r="V13" s="7">
        <f>$B13 * IFERROR(VLOOKUP("industry|PM25|Non-fatal heart attacks", US_national_yearly!$D:$AM, 30, FALSE) / VLOOKUP("industry|PM25|Non-fatal heart attacks", US_national_yearly!$D:$AM, 10, FALSE), 1)</f>
        <v>2.4556656510299427E-2</v>
      </c>
      <c r="W13" s="7">
        <f>$B13 * IFERROR(VLOOKUP("industry|PM25|Non-fatal heart attacks", US_national_yearly!$D:$AM, 31, FALSE) / VLOOKUP("industry|PM25|Non-fatal heart attacks", US_national_yearly!$D:$AM, 10, FALSE), 1)</f>
        <v>2.4692557829001632E-2</v>
      </c>
      <c r="X13" s="7">
        <f>$B13 * IFERROR(VLOOKUP("industry|PM25|Non-fatal heart attacks", US_national_yearly!$D:$AM, 32, FALSE) / VLOOKUP("industry|PM25|Non-fatal heart attacks", US_national_yearly!$D:$AM, 10, FALSE), 1)</f>
        <v>2.4797445589779123E-2</v>
      </c>
      <c r="Y13" s="7">
        <f>$B13 * IFERROR(VLOOKUP("industry|PM25|Non-fatal heart attacks", US_national_yearly!$D:$AM, 33, FALSE) / VLOOKUP("industry|PM25|Non-fatal heart attacks", US_national_yearly!$D:$AM, 10, FALSE), 1)</f>
        <v>2.4902333350556614E-2</v>
      </c>
      <c r="Z13" s="7">
        <f>$B13 * IFERROR(VLOOKUP("industry|PM25|Non-fatal heart attacks", US_national_yearly!$D:$AM, 34, FALSE) / VLOOKUP("industry|PM25|Non-fatal heart attacks", US_national_yearly!$D:$AM, 10, FALSE), 1)</f>
        <v>2.5007221111334108E-2</v>
      </c>
      <c r="AA13" s="7">
        <f>$B13 * IFERROR(VLOOKUP("industry|PM25|Non-fatal heart attacks", US_national_yearly!$D:$AM, 35, FALSE) / VLOOKUP("industry|PM25|Non-fatal heart attacks", US_national_yearly!$D:$AM, 10, FALSE), 1)</f>
        <v>2.5112108872111599E-2</v>
      </c>
      <c r="AB13" s="7">
        <f>$B13 * IFERROR(VLOOKUP("industry|PM25|Non-fatal heart attacks", US_national_yearly!$D:$AM, 36, FALSE) / VLOOKUP("industry|PM25|Non-fatal heart attacks", US_national_yearly!$D:$AM, 10, FALSE), 1)</f>
        <v>2.5216996632889094E-2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13.773313372926383</v>
      </c>
      <c r="C14" s="7">
        <f>$B14 * IFERROR(VLOOKUP("industry|PM25|Minor restricted activity days", US_national_yearly!$D:$AM, 11, FALSE) / VLOOKUP("industry|PM25|Minor restricted activity days", US_national_yearly!$D:$AM, 10, FALSE), 1)</f>
        <v>13.80704650038302</v>
      </c>
      <c r="D14" s="7">
        <f>$B14 * IFERROR(VLOOKUP("industry|PM25|Minor restricted activity days", US_national_yearly!$D:$AM, 12, FALSE) / VLOOKUP("industry|PM25|Minor restricted activity days", US_national_yearly!$D:$AM, 10, FALSE), 1)</f>
        <v>13.840779627839659</v>
      </c>
      <c r="E14" s="7">
        <f>$B14 * IFERROR(VLOOKUP("industry|PM25|Minor restricted activity days", US_national_yearly!$D:$AM, 13, FALSE) / VLOOKUP("industry|PM25|Minor restricted activity days", US_national_yearly!$D:$AM, 10, FALSE), 1)</f>
        <v>13.874512755296296</v>
      </c>
      <c r="F14" s="7">
        <f>$B14 * IFERROR(VLOOKUP("industry|PM25|Minor restricted activity days", US_national_yearly!$D:$AM, 14, FALSE) / VLOOKUP("industry|PM25|Minor restricted activity days", US_national_yearly!$D:$AM, 10, FALSE), 1)</f>
        <v>13.908245882752933</v>
      </c>
      <c r="G14" s="7">
        <f>$B14 * IFERROR(VLOOKUP("industry|PM25|Minor restricted activity days", US_national_yearly!$D:$AM, 15, FALSE) / VLOOKUP("industry|PM25|Minor restricted activity days", US_national_yearly!$D:$AM, 10, FALSE), 1)</f>
        <v>13.957760631258974</v>
      </c>
      <c r="H14" s="7">
        <f>$B14 * IFERROR(VLOOKUP("industry|PM25|Minor restricted activity days", US_national_yearly!$D:$AM, 16, FALSE) / VLOOKUP("industry|PM25|Minor restricted activity days", US_national_yearly!$D:$AM, 10, FALSE), 1)</f>
        <v>14.007275379765014</v>
      </c>
      <c r="I14" s="7">
        <f>$B14 * IFERROR(VLOOKUP("industry|PM25|Minor restricted activity days", US_national_yearly!$D:$AM, 17, FALSE) / VLOOKUP("industry|PM25|Minor restricted activity days", US_national_yearly!$D:$AM, 10, FALSE), 1)</f>
        <v>14.091388205877632</v>
      </c>
      <c r="J14" s="7">
        <f>$B14 * IFERROR(VLOOKUP("industry|PM25|Minor restricted activity days", US_national_yearly!$D:$AM, 18, FALSE) / VLOOKUP("industry|PM25|Minor restricted activity days", US_national_yearly!$D:$AM, 10, FALSE), 1)</f>
        <v>14.175501031990253</v>
      </c>
      <c r="K14" s="7">
        <f>$B14 * IFERROR(VLOOKUP("industry|PM25|Minor restricted activity days", US_national_yearly!$D:$AM, 19, FALSE) / VLOOKUP("industry|PM25|Minor restricted activity days", US_national_yearly!$D:$AM, 10, FALSE), 1)</f>
        <v>14.259613858102867</v>
      </c>
      <c r="L14" s="7">
        <f>$B14 * IFERROR(VLOOKUP("industry|PM25|Minor restricted activity days", US_national_yearly!$D:$AM, 20, FALSE) / VLOOKUP("industry|PM25|Minor restricted activity days", US_national_yearly!$D:$AM, 10, FALSE), 1)</f>
        <v>14.343726684215486</v>
      </c>
      <c r="M14" s="7">
        <f>$B14 * IFERROR(VLOOKUP("industry|PM25|Minor restricted activity days", US_national_yearly!$D:$AM, 21, FALSE) / VLOOKUP("industry|PM25|Minor restricted activity days", US_national_yearly!$D:$AM, 10, FALSE), 1)</f>
        <v>14.427839510328104</v>
      </c>
      <c r="N14" s="7">
        <f>$B14 * IFERROR(VLOOKUP("industry|PM25|Minor restricted activity days", US_national_yearly!$D:$AM, 22, FALSE) / VLOOKUP("industry|PM25|Minor restricted activity days", US_national_yearly!$D:$AM, 10, FALSE), 1)</f>
        <v>14.54274593617663</v>
      </c>
      <c r="O14" s="7">
        <f>$B14 * IFERROR(VLOOKUP("industry|PM25|Minor restricted activity days", US_national_yearly!$D:$AM, 23, FALSE) / VLOOKUP("industry|PM25|Minor restricted activity days", US_national_yearly!$D:$AM, 10, FALSE), 1)</f>
        <v>14.657652362025168</v>
      </c>
      <c r="P14" s="7">
        <f>$B14 * IFERROR(VLOOKUP("industry|PM25|Minor restricted activity days", US_national_yearly!$D:$AM, 24, FALSE) / VLOOKUP("industry|PM25|Minor restricted activity days", US_national_yearly!$D:$AM, 10, FALSE), 1)</f>
        <v>14.772558787873693</v>
      </c>
      <c r="Q14" s="7">
        <f>$B14 * IFERROR(VLOOKUP("industry|PM25|Minor restricted activity days", US_national_yearly!$D:$AM, 25, FALSE) / VLOOKUP("industry|PM25|Minor restricted activity days", US_national_yearly!$D:$AM, 10, FALSE), 1)</f>
        <v>14.887465213722235</v>
      </c>
      <c r="R14" s="7">
        <f>$B14 * IFERROR(VLOOKUP("industry|PM25|Minor restricted activity days", US_national_yearly!$D:$AM, 26, FALSE) / VLOOKUP("industry|PM25|Minor restricted activity days", US_national_yearly!$D:$AM, 10, FALSE), 1)</f>
        <v>15.002371639570761</v>
      </c>
      <c r="S14" s="7">
        <f>$B14 * IFERROR(VLOOKUP("industry|PM25|Minor restricted activity days", US_national_yearly!$D:$AM, 27, FALSE) / VLOOKUP("industry|PM25|Minor restricted activity days", US_national_yearly!$D:$AM, 10, FALSE), 1)</f>
        <v>15.118381212046994</v>
      </c>
      <c r="T14" s="7">
        <f>$B14 * IFERROR(VLOOKUP("industry|PM25|Minor restricted activity days", US_national_yearly!$D:$AM, 28, FALSE) / VLOOKUP("industry|PM25|Minor restricted activity days", US_national_yearly!$D:$AM, 10, FALSE), 1)</f>
        <v>15.234390784523232</v>
      </c>
      <c r="U14" s="7">
        <f>$B14 * IFERROR(VLOOKUP("industry|PM25|Minor restricted activity days", US_national_yearly!$D:$AM, 29, FALSE) / VLOOKUP("industry|PM25|Minor restricted activity days", US_national_yearly!$D:$AM, 10, FALSE), 1)</f>
        <v>15.350400356999465</v>
      </c>
      <c r="V14" s="7">
        <f>$B14 * IFERROR(VLOOKUP("industry|PM25|Minor restricted activity days", US_national_yearly!$D:$AM, 30, FALSE) / VLOOKUP("industry|PM25|Minor restricted activity days", US_national_yearly!$D:$AM, 10, FALSE), 1)</f>
        <v>15.466409929475699</v>
      </c>
      <c r="W14" s="7">
        <f>$B14 * IFERROR(VLOOKUP("industry|PM25|Minor restricted activity days", US_national_yearly!$D:$AM, 31, FALSE) / VLOOKUP("industry|PM25|Minor restricted activity days", US_national_yearly!$D:$AM, 10, FALSE), 1)</f>
        <v>15.582419501951936</v>
      </c>
      <c r="X14" s="7">
        <f>$B14 * IFERROR(VLOOKUP("industry|PM25|Minor restricted activity days", US_national_yearly!$D:$AM, 32, FALSE) / VLOOKUP("industry|PM25|Minor restricted activity days", US_national_yearly!$D:$AM, 10, FALSE), 1)</f>
        <v>15.68322757181762</v>
      </c>
      <c r="Y14" s="7">
        <f>$B14 * IFERROR(VLOOKUP("industry|PM25|Minor restricted activity days", US_national_yearly!$D:$AM, 33, FALSE) / VLOOKUP("industry|PM25|Minor restricted activity days", US_national_yearly!$D:$AM, 10, FALSE), 1)</f>
        <v>15.784035641683307</v>
      </c>
      <c r="Z14" s="7">
        <f>$B14 * IFERROR(VLOOKUP("industry|PM25|Minor restricted activity days", US_national_yearly!$D:$AM, 34, FALSE) / VLOOKUP("industry|PM25|Minor restricted activity days", US_national_yearly!$D:$AM, 10, FALSE), 1)</f>
        <v>15.884843711548994</v>
      </c>
      <c r="AA14" s="7">
        <f>$B14 * IFERROR(VLOOKUP("industry|PM25|Minor restricted activity days", US_national_yearly!$D:$AM, 35, FALSE) / VLOOKUP("industry|PM25|Minor restricted activity days", US_national_yearly!$D:$AM, 10, FALSE), 1)</f>
        <v>15.985651781414681</v>
      </c>
      <c r="AB14" s="7">
        <f>$B14 * IFERROR(VLOOKUP("industry|PM25|Minor restricted activity days", US_national_yearly!$D:$AM, 36, FALSE) / VLOOKUP("industry|PM25|Minor restricted activity days", US_national_yearly!$D:$AM, 10, FALSE), 1)</f>
        <v>16.08645985128037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2.3424650930139048</v>
      </c>
      <c r="C15" s="7">
        <f>$B15 * IFERROR(VLOOKUP("industry|PM25|Work loss days", US_national_yearly!$D:$AM, 11, FALSE) / VLOOKUP("industry|PM25|Work loss days", US_national_yearly!$D:$AM, 10, FALSE), 1)</f>
        <v>2.3497276753008483</v>
      </c>
      <c r="D15" s="7">
        <f>$B15 * IFERROR(VLOOKUP("industry|PM25|Work loss days", US_national_yearly!$D:$AM, 12, FALSE) / VLOOKUP("industry|PM25|Work loss days", US_national_yearly!$D:$AM, 10, FALSE), 1)</f>
        <v>2.3569902575877921</v>
      </c>
      <c r="E15" s="7">
        <f>$B15 * IFERROR(VLOOKUP("industry|PM25|Work loss days", US_national_yearly!$D:$AM, 13, FALSE) / VLOOKUP("industry|PM25|Work loss days", US_national_yearly!$D:$AM, 10, FALSE), 1)</f>
        <v>2.3642528398747351</v>
      </c>
      <c r="F15" s="7">
        <f>$B15 * IFERROR(VLOOKUP("industry|PM25|Work loss days", US_national_yearly!$D:$AM, 14, FALSE) / VLOOKUP("industry|PM25|Work loss days", US_national_yearly!$D:$AM, 10, FALSE), 1)</f>
        <v>2.3715154221616785</v>
      </c>
      <c r="G15" s="7">
        <f>$B15 * IFERROR(VLOOKUP("industry|PM25|Work loss days", US_national_yearly!$D:$AM, 15, FALSE) / VLOOKUP("industry|PM25|Work loss days", US_national_yearly!$D:$AM, 10, FALSE), 1)</f>
        <v>2.3809970413283001</v>
      </c>
      <c r="H15" s="7">
        <f>$B15 * IFERROR(VLOOKUP("industry|PM25|Work loss days", US_national_yearly!$D:$AM, 16, FALSE) / VLOOKUP("industry|PM25|Work loss days", US_national_yearly!$D:$AM, 10, FALSE), 1)</f>
        <v>2.3904786604949217</v>
      </c>
      <c r="I15" s="7">
        <f>$B15 * IFERROR(VLOOKUP("industry|PM25|Work loss days", US_national_yearly!$D:$AM, 17, FALSE) / VLOOKUP("industry|PM25|Work loss days", US_national_yearly!$D:$AM, 10, FALSE), 1)</f>
        <v>2.4043627686111648</v>
      </c>
      <c r="J15" s="7">
        <f>$B15 * IFERROR(VLOOKUP("industry|PM25|Work loss days", US_national_yearly!$D:$AM, 18, FALSE) / VLOOKUP("industry|PM25|Work loss days", US_national_yearly!$D:$AM, 10, FALSE), 1)</f>
        <v>2.4182468767274083</v>
      </c>
      <c r="K15" s="7">
        <f>$B15 * IFERROR(VLOOKUP("industry|PM25|Work loss days", US_national_yearly!$D:$AM, 19, FALSE) / VLOOKUP("industry|PM25|Work loss days", US_national_yearly!$D:$AM, 10, FALSE), 1)</f>
        <v>2.432130984843651</v>
      </c>
      <c r="L15" s="7">
        <f>$B15 * IFERROR(VLOOKUP("industry|PM25|Work loss days", US_national_yearly!$D:$AM, 20, FALSE) / VLOOKUP("industry|PM25|Work loss days", US_national_yearly!$D:$AM, 10, FALSE), 1)</f>
        <v>2.4460150929598945</v>
      </c>
      <c r="M15" s="7">
        <f>$B15 * IFERROR(VLOOKUP("industry|PM25|Work loss days", US_national_yearly!$D:$AM, 21, FALSE) / VLOOKUP("industry|PM25|Work loss days", US_national_yearly!$D:$AM, 10, FALSE), 1)</f>
        <v>2.4598992010761376</v>
      </c>
      <c r="N15" s="7">
        <f>$B15 * IFERROR(VLOOKUP("industry|PM25|Work loss days", US_national_yearly!$D:$AM, 22, FALSE) / VLOOKUP("industry|PM25|Work loss days", US_national_yearly!$D:$AM, 10, FALSE), 1)</f>
        <v>2.4774191231201548</v>
      </c>
      <c r="O15" s="7">
        <f>$B15 * IFERROR(VLOOKUP("industry|PM25|Work loss days", US_national_yearly!$D:$AM, 23, FALSE) / VLOOKUP("industry|PM25|Work loss days", US_national_yearly!$D:$AM, 10, FALSE), 1)</f>
        <v>2.494939045164172</v>
      </c>
      <c r="P15" s="7">
        <f>$B15 * IFERROR(VLOOKUP("industry|PM25|Work loss days", US_national_yearly!$D:$AM, 24, FALSE) / VLOOKUP("industry|PM25|Work loss days", US_national_yearly!$D:$AM, 10, FALSE), 1)</f>
        <v>2.5124589672081887</v>
      </c>
      <c r="Q15" s="7">
        <f>$B15 * IFERROR(VLOOKUP("industry|PM25|Work loss days", US_national_yearly!$D:$AM, 25, FALSE) / VLOOKUP("industry|PM25|Work loss days", US_national_yearly!$D:$AM, 10, FALSE), 1)</f>
        <v>2.5299788892522059</v>
      </c>
      <c r="R15" s="7">
        <f>$B15 * IFERROR(VLOOKUP("industry|PM25|Work loss days", US_national_yearly!$D:$AM, 26, FALSE) / VLOOKUP("industry|PM25|Work loss days", US_national_yearly!$D:$AM, 10, FALSE), 1)</f>
        <v>2.5474988112962227</v>
      </c>
      <c r="S15" s="7">
        <f>$B15 * IFERROR(VLOOKUP("industry|PM25|Work loss days", US_national_yearly!$D:$AM, 27, FALSE) / VLOOKUP("industry|PM25|Work loss days", US_national_yearly!$D:$AM, 10, FALSE), 1)</f>
        <v>2.5669259210703994</v>
      </c>
      <c r="T15" s="7">
        <f>$B15 * IFERROR(VLOOKUP("industry|PM25|Work loss days", US_national_yearly!$D:$AM, 28, FALSE) / VLOOKUP("industry|PM25|Work loss days", US_national_yearly!$D:$AM, 10, FALSE), 1)</f>
        <v>2.5863530308445757</v>
      </c>
      <c r="U15" s="7">
        <f>$B15 * IFERROR(VLOOKUP("industry|PM25|Work loss days", US_national_yearly!$D:$AM, 29, FALSE) / VLOOKUP("industry|PM25|Work loss days", US_national_yearly!$D:$AM, 10, FALSE), 1)</f>
        <v>2.6057801406187515</v>
      </c>
      <c r="V15" s="7">
        <f>$B15 * IFERROR(VLOOKUP("industry|PM25|Work loss days", US_national_yearly!$D:$AM, 30, FALSE) / VLOOKUP("industry|PM25|Work loss days", US_national_yearly!$D:$AM, 10, FALSE), 1)</f>
        <v>2.6252072503929278</v>
      </c>
      <c r="W15" s="7">
        <f>$B15 * IFERROR(VLOOKUP("industry|PM25|Work loss days", US_national_yearly!$D:$AM, 31, FALSE) / VLOOKUP("industry|PM25|Work loss days", US_national_yearly!$D:$AM, 10, FALSE), 1)</f>
        <v>2.6446343601671045</v>
      </c>
      <c r="X15" s="7">
        <f>$B15 * IFERROR(VLOOKUP("industry|PM25|Work loss days", US_national_yearly!$D:$AM, 32, FALSE) / VLOOKUP("industry|PM25|Work loss days", US_national_yearly!$D:$AM, 10, FALSE), 1)</f>
        <v>2.6618979016728748</v>
      </c>
      <c r="Y15" s="7">
        <f>$B15 * IFERROR(VLOOKUP("industry|PM25|Work loss days", US_national_yearly!$D:$AM, 33, FALSE) / VLOOKUP("industry|PM25|Work loss days", US_national_yearly!$D:$AM, 10, FALSE), 1)</f>
        <v>2.679161443178645</v>
      </c>
      <c r="Z15" s="7">
        <f>$B15 * IFERROR(VLOOKUP("industry|PM25|Work loss days", US_national_yearly!$D:$AM, 34, FALSE) / VLOOKUP("industry|PM25|Work loss days", US_national_yearly!$D:$AM, 10, FALSE), 1)</f>
        <v>2.6964249846844157</v>
      </c>
      <c r="AA15" s="7">
        <f>$B15 * IFERROR(VLOOKUP("industry|PM25|Work loss days", US_national_yearly!$D:$AM, 35, FALSE) / VLOOKUP("industry|PM25|Work loss days", US_national_yearly!$D:$AM, 10, FALSE), 1)</f>
        <v>2.7136885261901855</v>
      </c>
      <c r="AB15" s="7">
        <f>$B15 * IFERROR(VLOOKUP("industry|PM25|Work loss days", US_national_yearly!$D:$AM, 36, FALSE) / VLOOKUP("industry|PM25|Work loss days", US_national_yearly!$D:$AM, 10, FALSE), 1)</f>
        <v>2.7309520676959558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4.0453477926053055E-3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4.1663467386375682E-3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4.2873456846698301E-3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4.4083446307020928E-3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4.5293435767343538E-3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4.6453123450578646E-3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4.7612811133813738E-3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4.8608504638385751E-3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4.9604198142957764E-3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5.0599891647529786E-3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5.1595585152101808E-3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5.2591278656673821E-3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5.325640567163962E-3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5.3921532686605394E-3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5.4586659701571175E-3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5.5251786716536957E-3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5.5916913731502739E-3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5.627327265643179E-3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5.6629631581360832E-3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5.6985990506289884E-3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5.7342349431218917E-3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5.769870835614796E-3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5.7943418089819818E-3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5.8188127823491659E-3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5.8432837557163518E-3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5.8677547290835359E-3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5.8922257024507209E-3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2.9461953651268788E-4</v>
      </c>
      <c r="C2" s="7">
        <f>$B2 * IFERROR(VLOOKUP("industry|NOx|Premature mortality", US_national_yearly!$D:$AM, 11, FALSE) / VLOOKUP("industry|NOx|Premature mortality", US_national_yearly!$D:$AM, 10, FALSE), 1)</f>
        <v>2.9897599826781389E-4</v>
      </c>
      <c r="D2" s="7">
        <f>$B2 * IFERROR(VLOOKUP("industry|NOx|Premature mortality", US_national_yearly!$D:$AM, 12, FALSE) / VLOOKUP("industry|NOx|Premature mortality", US_national_yearly!$D:$AM, 10, FALSE), 1)</f>
        <v>3.033324600229399E-4</v>
      </c>
      <c r="E2" s="7">
        <f>$B2 * IFERROR(VLOOKUP("industry|NOx|Premature mortality", US_national_yearly!$D:$AM, 13, FALSE) / VLOOKUP("industry|NOx|Premature mortality", US_national_yearly!$D:$AM, 10, FALSE), 1)</f>
        <v>3.076889217780659E-4</v>
      </c>
      <c r="F2" s="7">
        <f>$B2 * IFERROR(VLOOKUP("industry|NOx|Premature mortality", US_national_yearly!$D:$AM, 14, FALSE) / VLOOKUP("industry|NOx|Premature mortality", US_national_yearly!$D:$AM, 10, FALSE), 1)</f>
        <v>3.1204538353319197E-4</v>
      </c>
      <c r="G2" s="7">
        <f>$B2 * IFERROR(VLOOKUP("industry|NOx|Premature mortality", US_national_yearly!$D:$AM, 15, FALSE) / VLOOKUP("industry|NOx|Premature mortality", US_national_yearly!$D:$AM, 10, FALSE), 1)</f>
        <v>3.1985815087878263E-4</v>
      </c>
      <c r="H2" s="7">
        <f>$B2 * IFERROR(VLOOKUP("industry|NOx|Premature mortality", US_national_yearly!$D:$AM, 16, FALSE) / VLOOKUP("industry|NOx|Premature mortality", US_national_yearly!$D:$AM, 10, FALSE), 1)</f>
        <v>3.2767091822437328E-4</v>
      </c>
      <c r="I2" s="7">
        <f>$B2 * IFERROR(VLOOKUP("industry|NOx|Premature mortality", US_national_yearly!$D:$AM, 17, FALSE) / VLOOKUP("industry|NOx|Premature mortality", US_national_yearly!$D:$AM, 10, FALSE), 1)</f>
        <v>3.3273932328918663E-4</v>
      </c>
      <c r="J2" s="7">
        <f>$B2 * IFERROR(VLOOKUP("industry|NOx|Premature mortality", US_national_yearly!$D:$AM, 18, FALSE) / VLOOKUP("industry|NOx|Premature mortality", US_national_yearly!$D:$AM, 10, FALSE), 1)</f>
        <v>3.3780772835399997E-4</v>
      </c>
      <c r="K2" s="7">
        <f>$B2 * IFERROR(VLOOKUP("industry|NOx|Premature mortality", US_national_yearly!$D:$AM, 19, FALSE) / VLOOKUP("industry|NOx|Premature mortality", US_national_yearly!$D:$AM, 10, FALSE), 1)</f>
        <v>3.4287613341881331E-4</v>
      </c>
      <c r="L2" s="7">
        <f>$B2 * IFERROR(VLOOKUP("industry|NOx|Premature mortality", US_national_yearly!$D:$AM, 20, FALSE) / VLOOKUP("industry|NOx|Premature mortality", US_national_yearly!$D:$AM, 10, FALSE), 1)</f>
        <v>3.4794453848362665E-4</v>
      </c>
      <c r="M2" s="7">
        <f>$B2 * IFERROR(VLOOKUP("industry|NOx|Premature mortality", US_national_yearly!$D:$AM, 21, FALSE) / VLOOKUP("industry|NOx|Premature mortality", US_national_yearly!$D:$AM, 10, FALSE), 1)</f>
        <v>3.5301294354843994E-4</v>
      </c>
      <c r="N2" s="7">
        <f>$B2 * IFERROR(VLOOKUP("industry|NOx|Premature mortality", US_national_yearly!$D:$AM, 22, FALSE) / VLOOKUP("industry|NOx|Premature mortality", US_national_yearly!$D:$AM, 10, FALSE), 1)</f>
        <v>3.5678449829510344E-4</v>
      </c>
      <c r="O2" s="7">
        <f>$B2 * IFERROR(VLOOKUP("industry|NOx|Premature mortality", US_national_yearly!$D:$AM, 23, FALSE) / VLOOKUP("industry|NOx|Premature mortality", US_national_yearly!$D:$AM, 10, FALSE), 1)</f>
        <v>3.6055605304176683E-4</v>
      </c>
      <c r="P2" s="7">
        <f>$B2 * IFERROR(VLOOKUP("industry|NOx|Premature mortality", US_national_yearly!$D:$AM, 24, FALSE) / VLOOKUP("industry|NOx|Premature mortality", US_national_yearly!$D:$AM, 10, FALSE), 1)</f>
        <v>3.6432760778843016E-4</v>
      </c>
      <c r="Q2" s="7">
        <f>$B2 * IFERROR(VLOOKUP("industry|NOx|Premature mortality", US_national_yearly!$D:$AM, 25, FALSE) / VLOOKUP("industry|NOx|Premature mortality", US_national_yearly!$D:$AM, 10, FALSE), 1)</f>
        <v>3.6809916253509355E-4</v>
      </c>
      <c r="R2" s="7">
        <f>$B2 * IFERROR(VLOOKUP("industry|NOx|Premature mortality", US_national_yearly!$D:$AM, 26, FALSE) / VLOOKUP("industry|NOx|Premature mortality", US_national_yearly!$D:$AM, 10, FALSE), 1)</f>
        <v>3.71870717281757E-4</v>
      </c>
      <c r="S2" s="7">
        <f>$B2 * IFERROR(VLOOKUP("industry|NOx|Premature mortality", US_national_yearly!$D:$AM, 27, FALSE) / VLOOKUP("industry|NOx|Premature mortality", US_national_yearly!$D:$AM, 10, FALSE), 1)</f>
        <v>3.7362698087739553E-4</v>
      </c>
      <c r="T2" s="7">
        <f>$B2 * IFERROR(VLOOKUP("industry|NOx|Premature mortality", US_national_yearly!$D:$AM, 28, FALSE) / VLOOKUP("industry|NOx|Premature mortality", US_national_yearly!$D:$AM, 10, FALSE), 1)</f>
        <v>3.7538324447303412E-4</v>
      </c>
      <c r="U2" s="7">
        <f>$B2 * IFERROR(VLOOKUP("industry|NOx|Premature mortality", US_national_yearly!$D:$AM, 29, FALSE) / VLOOKUP("industry|NOx|Premature mortality", US_national_yearly!$D:$AM, 10, FALSE), 1)</f>
        <v>3.7713950806867271E-4</v>
      </c>
      <c r="V2" s="7">
        <f>$B2 * IFERROR(VLOOKUP("industry|NOx|Premature mortality", US_national_yearly!$D:$AM, 30, FALSE) / VLOOKUP("industry|NOx|Premature mortality", US_national_yearly!$D:$AM, 10, FALSE), 1)</f>
        <v>3.788957716643113E-4</v>
      </c>
      <c r="W2" s="7">
        <f>$B2 * IFERROR(VLOOKUP("industry|NOx|Premature mortality", US_national_yearly!$D:$AM, 31, FALSE) / VLOOKUP("industry|NOx|Premature mortality", US_national_yearly!$D:$AM, 10, FALSE), 1)</f>
        <v>3.8065203525994984E-4</v>
      </c>
      <c r="X2" s="7">
        <f>$B2 * IFERROR(VLOOKUP("industry|NOx|Premature mortality", US_national_yearly!$D:$AM, 32, FALSE) / VLOOKUP("industry|NOx|Premature mortality", US_national_yearly!$D:$AM, 10, FALSE), 1)</f>
        <v>3.8078625454076909E-4</v>
      </c>
      <c r="Y2" s="7">
        <f>$B2 * IFERROR(VLOOKUP("industry|NOx|Premature mortality", US_national_yearly!$D:$AM, 33, FALSE) / VLOOKUP("industry|NOx|Premature mortality", US_national_yearly!$D:$AM, 10, FALSE), 1)</f>
        <v>3.8092047382158828E-4</v>
      </c>
      <c r="Z2" s="7">
        <f>$B2 * IFERROR(VLOOKUP("industry|NOx|Premature mortality", US_national_yearly!$D:$AM, 34, FALSE) / VLOOKUP("industry|NOx|Premature mortality", US_national_yearly!$D:$AM, 10, FALSE), 1)</f>
        <v>3.8105469310240753E-4</v>
      </c>
      <c r="AA2" s="7">
        <f>$B2 * IFERROR(VLOOKUP("industry|NOx|Premature mortality", US_national_yearly!$D:$AM, 35, FALSE) / VLOOKUP("industry|NOx|Premature mortality", US_national_yearly!$D:$AM, 10, FALSE), 1)</f>
        <v>3.8118891238322677E-4</v>
      </c>
      <c r="AB2" s="7">
        <f>$B2 * IFERROR(VLOOKUP("industry|NOx|Premature mortality", US_national_yearly!$D:$AM, 36, FALSE) / VLOOKUP("industry|NOx|Premature mortality", US_national_yearly!$D:$AM, 10, FALSE), 1)</f>
        <v>3.8132313166404602E-4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4.5533565584450081E-7</v>
      </c>
      <c r="C3" s="7">
        <f>$B3 * IFERROR(VLOOKUP("industry|NOx|Infant mortality", US_national_yearly!$D:$AM, 11, FALSE) / VLOOKUP("industry|NOx|Infant mortality", US_national_yearly!$D:$AM, 10, FALSE), 1)</f>
        <v>4.5097498257460782E-7</v>
      </c>
      <c r="D3" s="7">
        <f>$B3 * IFERROR(VLOOKUP("industry|NOx|Infant mortality", US_national_yearly!$D:$AM, 12, FALSE) / VLOOKUP("industry|NOx|Infant mortality", US_national_yearly!$D:$AM, 10, FALSE), 1)</f>
        <v>4.4661430930471477E-7</v>
      </c>
      <c r="E3" s="7">
        <f>$B3 * IFERROR(VLOOKUP("industry|NOx|Infant mortality", US_national_yearly!$D:$AM, 13, FALSE) / VLOOKUP("industry|NOx|Infant mortality", US_national_yearly!$D:$AM, 10, FALSE), 1)</f>
        <v>4.4225363603482178E-7</v>
      </c>
      <c r="F3" s="7">
        <f>$B3 * IFERROR(VLOOKUP("industry|NOx|Infant mortality", US_national_yearly!$D:$AM, 14, FALSE) / VLOOKUP("industry|NOx|Infant mortality", US_national_yearly!$D:$AM, 10, FALSE), 1)</f>
        <v>4.3789296276492873E-7</v>
      </c>
      <c r="G3" s="7">
        <f>$B3 * IFERROR(VLOOKUP("industry|NOx|Infant mortality", US_national_yearly!$D:$AM, 15, FALSE) / VLOOKUP("industry|NOx|Infant mortality", US_national_yearly!$D:$AM, 10, FALSE), 1)</f>
        <v>2.9044925065251907E-7</v>
      </c>
      <c r="H3" s="7">
        <f>$B3 * IFERROR(VLOOKUP("industry|NOx|Infant mortality", US_national_yearly!$D:$AM, 16, FALSE) / VLOOKUP("industry|NOx|Infant mortality", US_national_yearly!$D:$AM, 10, FALSE), 1)</f>
        <v>1.4300553854010944E-7</v>
      </c>
      <c r="I3" s="7">
        <f>$B3 * IFERROR(VLOOKUP("industry|NOx|Infant mortality", US_national_yearly!$D:$AM, 17, FALSE) / VLOOKUP("industry|NOx|Infant mortality", US_national_yearly!$D:$AM, 10, FALSE), 1)</f>
        <v>1.4197453035174151E-7</v>
      </c>
      <c r="J3" s="7">
        <f>$B3 * IFERROR(VLOOKUP("industry|NOx|Infant mortality", US_national_yearly!$D:$AM, 18, FALSE) / VLOOKUP("industry|NOx|Infant mortality", US_national_yearly!$D:$AM, 10, FALSE), 1)</f>
        <v>1.4094352216337363E-7</v>
      </c>
      <c r="K3" s="7">
        <f>$B3 * IFERROR(VLOOKUP("industry|NOx|Infant mortality", US_national_yearly!$D:$AM, 19, FALSE) / VLOOKUP("industry|NOx|Infant mortality", US_national_yearly!$D:$AM, 10, FALSE), 1)</f>
        <v>1.399125139750057E-7</v>
      </c>
      <c r="L3" s="7">
        <f>$B3 * IFERROR(VLOOKUP("industry|NOx|Infant mortality", US_national_yearly!$D:$AM, 20, FALSE) / VLOOKUP("industry|NOx|Infant mortality", US_national_yearly!$D:$AM, 10, FALSE), 1)</f>
        <v>1.3888150578663777E-7</v>
      </c>
      <c r="M3" s="7">
        <f>$B3 * IFERROR(VLOOKUP("industry|NOx|Infant mortality", US_national_yearly!$D:$AM, 21, FALSE) / VLOOKUP("industry|NOx|Infant mortality", US_national_yearly!$D:$AM, 10, FALSE), 1)</f>
        <v>1.3785049759826984E-7</v>
      </c>
      <c r="N3" s="7">
        <f>$B3 * IFERROR(VLOOKUP("industry|NOx|Infant mortality", US_national_yearly!$D:$AM, 22, FALSE) / VLOOKUP("industry|NOx|Infant mortality", US_national_yearly!$D:$AM, 10, FALSE), 1)</f>
        <v>1.3715585078659431E-7</v>
      </c>
      <c r="O3" s="7">
        <f>$B3 * IFERROR(VLOOKUP("industry|NOx|Infant mortality", US_national_yearly!$D:$AM, 23, FALSE) / VLOOKUP("industry|NOx|Infant mortality", US_national_yearly!$D:$AM, 10, FALSE), 1)</f>
        <v>1.3646120397491876E-7</v>
      </c>
      <c r="P3" s="7">
        <f>$B3 * IFERROR(VLOOKUP("industry|NOx|Infant mortality", US_national_yearly!$D:$AM, 24, FALSE) / VLOOKUP("industry|NOx|Infant mortality", US_national_yearly!$D:$AM, 10, FALSE), 1)</f>
        <v>1.3576655716324324E-7</v>
      </c>
      <c r="Q3" s="7">
        <f>$B3 * IFERROR(VLOOKUP("industry|NOx|Infant mortality", US_national_yearly!$D:$AM, 25, FALSE) / VLOOKUP("industry|NOx|Infant mortality", US_national_yearly!$D:$AM, 10, FALSE), 1)</f>
        <v>1.3507191035156772E-7</v>
      </c>
      <c r="R3" s="7">
        <f>$B3 * IFERROR(VLOOKUP("industry|NOx|Infant mortality", US_national_yearly!$D:$AM, 26, FALSE) / VLOOKUP("industry|NOx|Infant mortality", US_national_yearly!$D:$AM, 10, FALSE), 1)</f>
        <v>1.343772635398922E-7</v>
      </c>
      <c r="S3" s="7">
        <f>$B3 * IFERROR(VLOOKUP("industry|NOx|Infant mortality", US_national_yearly!$D:$AM, 27, FALSE) / VLOOKUP("industry|NOx|Infant mortality", US_national_yearly!$D:$AM, 10, FALSE), 1)</f>
        <v>1.3355238286997575E-7</v>
      </c>
      <c r="T3" s="7">
        <f>$B3 * IFERROR(VLOOKUP("industry|NOx|Infant mortality", US_national_yearly!$D:$AM, 28, FALSE) / VLOOKUP("industry|NOx|Infant mortality", US_national_yearly!$D:$AM, 10, FALSE), 1)</f>
        <v>1.3272750220005927E-7</v>
      </c>
      <c r="U3" s="7">
        <f>$B3 * IFERROR(VLOOKUP("industry|NOx|Infant mortality", US_national_yearly!$D:$AM, 29, FALSE) / VLOOKUP("industry|NOx|Infant mortality", US_national_yearly!$D:$AM, 10, FALSE), 1)</f>
        <v>1.3190262153014282E-7</v>
      </c>
      <c r="V3" s="7">
        <f>$B3 * IFERROR(VLOOKUP("industry|NOx|Infant mortality", US_national_yearly!$D:$AM, 30, FALSE) / VLOOKUP("industry|NOx|Infant mortality", US_national_yearly!$D:$AM, 10, FALSE), 1)</f>
        <v>1.3107774086022635E-7</v>
      </c>
      <c r="W3" s="7">
        <f>$B3 * IFERROR(VLOOKUP("industry|NOx|Infant mortality", US_national_yearly!$D:$AM, 31, FALSE) / VLOOKUP("industry|NOx|Infant mortality", US_national_yearly!$D:$AM, 10, FALSE), 1)</f>
        <v>1.3025286019030992E-7</v>
      </c>
      <c r="X3" s="7">
        <f>$B3 * IFERROR(VLOOKUP("industry|NOx|Infant mortality", US_national_yearly!$D:$AM, 32, FALSE) / VLOOKUP("industry|NOx|Infant mortality", US_national_yearly!$D:$AM, 10, FALSE), 1)</f>
        <v>1.2938664414945195E-7</v>
      </c>
      <c r="Y3" s="7">
        <f>$B3 * IFERROR(VLOOKUP("industry|NOx|Infant mortality", US_national_yearly!$D:$AM, 33, FALSE) / VLOOKUP("industry|NOx|Infant mortality", US_national_yearly!$D:$AM, 10, FALSE), 1)</f>
        <v>1.2852042810859402E-7</v>
      </c>
      <c r="Z3" s="7">
        <f>$B3 * IFERROR(VLOOKUP("industry|NOx|Infant mortality", US_national_yearly!$D:$AM, 34, FALSE) / VLOOKUP("industry|NOx|Infant mortality", US_national_yearly!$D:$AM, 10, FALSE), 1)</f>
        <v>1.2765421206773607E-7</v>
      </c>
      <c r="AA3" s="7">
        <f>$B3 * IFERROR(VLOOKUP("industry|NOx|Infant mortality", US_national_yearly!$D:$AM, 35, FALSE) / VLOOKUP("industry|NOx|Infant mortality", US_national_yearly!$D:$AM, 10, FALSE), 1)</f>
        <v>1.2678799602687812E-7</v>
      </c>
      <c r="AB3" s="7">
        <f>$B3 * IFERROR(VLOOKUP("industry|NOx|Infant mortality", US_national_yearly!$D:$AM, 36, FALSE) / VLOOKUP("industry|NOx|Infant mortality", US_national_yearly!$D:$AM, 10, FALSE), 1)</f>
        <v>1.2592177998602017E-7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6.8800587273550723E-4</v>
      </c>
      <c r="C6" s="7">
        <f>$B6 * IFERROR(VLOOKUP("industry|NOx|Asthma symptoms cough", US_national_yearly!$D:$AM, 11, FALSE) / VLOOKUP("industry|NOx|Asthma symptoms cough", US_national_yearly!$D:$AM, 10, FALSE), 1)</f>
        <v>6.974180265273297E-4</v>
      </c>
      <c r="D6" s="7">
        <f>$B6 * IFERROR(VLOOKUP("industry|NOx|Asthma symptoms cough", US_national_yearly!$D:$AM, 12, FALSE) / VLOOKUP("industry|NOx|Asthma symptoms cough", US_national_yearly!$D:$AM, 10, FALSE), 1)</f>
        <v>7.0683018031915217E-4</v>
      </c>
      <c r="E6" s="7">
        <f>$B6 * IFERROR(VLOOKUP("industry|NOx|Asthma symptoms cough", US_national_yearly!$D:$AM, 13, FALSE) / VLOOKUP("industry|NOx|Asthma symptoms cough", US_national_yearly!$D:$AM, 10, FALSE), 1)</f>
        <v>7.1624233411097474E-4</v>
      </c>
      <c r="F6" s="7">
        <f>$B6 * IFERROR(VLOOKUP("industry|NOx|Asthma symptoms cough", US_national_yearly!$D:$AM, 14, FALSE) / VLOOKUP("industry|NOx|Asthma symptoms cough", US_national_yearly!$D:$AM, 10, FALSE), 1)</f>
        <v>7.2565448790279721E-4</v>
      </c>
      <c r="G6" s="7">
        <f>$B6 * IFERROR(VLOOKUP("industry|NOx|Asthma symptoms cough", US_national_yearly!$D:$AM, 15, FALSE) / VLOOKUP("industry|NOx|Asthma symptoms cough", US_national_yearly!$D:$AM, 10, FALSE), 1)</f>
        <v>7.3320157506631364E-4</v>
      </c>
      <c r="H6" s="7">
        <f>$B6 * IFERROR(VLOOKUP("industry|NOx|Asthma symptoms cough", US_national_yearly!$D:$AM, 16, FALSE) / VLOOKUP("industry|NOx|Asthma symptoms cough", US_national_yearly!$D:$AM, 10, FALSE), 1)</f>
        <v>7.4074866222983028E-4</v>
      </c>
      <c r="I6" s="7">
        <f>$B6 * IFERROR(VLOOKUP("industry|NOx|Asthma symptoms cough", US_national_yearly!$D:$AM, 17, FALSE) / VLOOKUP("industry|NOx|Asthma symptoms cough", US_national_yearly!$D:$AM, 10, FALSE), 1)</f>
        <v>7.433751154681665E-4</v>
      </c>
      <c r="J6" s="7">
        <f>$B6 * IFERROR(VLOOKUP("industry|NOx|Asthma symptoms cough", US_national_yearly!$D:$AM, 18, FALSE) / VLOOKUP("industry|NOx|Asthma symptoms cough", US_national_yearly!$D:$AM, 10, FALSE), 1)</f>
        <v>7.4600156870650294E-4</v>
      </c>
      <c r="K6" s="7">
        <f>$B6 * IFERROR(VLOOKUP("industry|NOx|Asthma symptoms cough", US_national_yearly!$D:$AM, 19, FALSE) / VLOOKUP("industry|NOx|Asthma symptoms cough", US_national_yearly!$D:$AM, 10, FALSE), 1)</f>
        <v>7.4862802194483916E-4</v>
      </c>
      <c r="L6" s="7">
        <f>$B6 * IFERROR(VLOOKUP("industry|NOx|Asthma symptoms cough", US_national_yearly!$D:$AM, 20, FALSE) / VLOOKUP("industry|NOx|Asthma symptoms cough", US_national_yearly!$D:$AM, 10, FALSE), 1)</f>
        <v>7.512544751831756E-4</v>
      </c>
      <c r="M6" s="7">
        <f>$B6 * IFERROR(VLOOKUP("industry|NOx|Asthma symptoms cough", US_national_yearly!$D:$AM, 21, FALSE) / VLOOKUP("industry|NOx|Asthma symptoms cough", US_national_yearly!$D:$AM, 10, FALSE), 1)</f>
        <v>7.5388092842151194E-4</v>
      </c>
      <c r="N6" s="7">
        <f>$B6 * IFERROR(VLOOKUP("industry|NOx|Asthma symptoms cough", US_national_yearly!$D:$AM, 22, FALSE) / VLOOKUP("industry|NOx|Asthma symptoms cough", US_national_yearly!$D:$AM, 10, FALSE), 1)</f>
        <v>7.5687909649176045E-4</v>
      </c>
      <c r="O6" s="7">
        <f>$B6 * IFERROR(VLOOKUP("industry|NOx|Asthma symptoms cough", US_national_yearly!$D:$AM, 23, FALSE) / VLOOKUP("industry|NOx|Asthma symptoms cough", US_national_yearly!$D:$AM, 10, FALSE), 1)</f>
        <v>7.5987726456200886E-4</v>
      </c>
      <c r="P6" s="7">
        <f>$B6 * IFERROR(VLOOKUP("industry|NOx|Asthma symptoms cough", US_national_yearly!$D:$AM, 24, FALSE) / VLOOKUP("industry|NOx|Asthma symptoms cough", US_national_yearly!$D:$AM, 10, FALSE), 1)</f>
        <v>7.6287543263225748E-4</v>
      </c>
      <c r="Q6" s="7">
        <f>$B6 * IFERROR(VLOOKUP("industry|NOx|Asthma symptoms cough", US_national_yearly!$D:$AM, 25, FALSE) / VLOOKUP("industry|NOx|Asthma symptoms cough", US_national_yearly!$D:$AM, 10, FALSE), 1)</f>
        <v>7.65873600702506E-4</v>
      </c>
      <c r="R6" s="7">
        <f>$B6 * IFERROR(VLOOKUP("industry|NOx|Asthma symptoms cough", US_national_yearly!$D:$AM, 26, FALSE) / VLOOKUP("industry|NOx|Asthma symptoms cough", US_national_yearly!$D:$AM, 10, FALSE), 1)</f>
        <v>7.6887176877275451E-4</v>
      </c>
      <c r="S6" s="7">
        <f>$B6 * IFERROR(VLOOKUP("industry|NOx|Asthma symptoms cough", US_national_yearly!$D:$AM, 27, FALSE) / VLOOKUP("industry|NOx|Asthma symptoms cough", US_national_yearly!$D:$AM, 10, FALSE), 1)</f>
        <v>7.7273927292640212E-4</v>
      </c>
      <c r="T6" s="7">
        <f>$B6 * IFERROR(VLOOKUP("industry|NOx|Asthma symptoms cough", US_national_yearly!$D:$AM, 28, FALSE) / VLOOKUP("industry|NOx|Asthma symptoms cough", US_national_yearly!$D:$AM, 10, FALSE), 1)</f>
        <v>7.7660677708004972E-4</v>
      </c>
      <c r="U6" s="7">
        <f>$B6 * IFERROR(VLOOKUP("industry|NOx|Asthma symptoms cough", US_national_yearly!$D:$AM, 29, FALSE) / VLOOKUP("industry|NOx|Asthma symptoms cough", US_national_yearly!$D:$AM, 10, FALSE), 1)</f>
        <v>7.8047428123369732E-4</v>
      </c>
      <c r="V6" s="7">
        <f>$B6 * IFERROR(VLOOKUP("industry|NOx|Asthma symptoms cough", US_national_yearly!$D:$AM, 30, FALSE) / VLOOKUP("industry|NOx|Asthma symptoms cough", US_national_yearly!$D:$AM, 10, FALSE), 1)</f>
        <v>7.8434178538734471E-4</v>
      </c>
      <c r="W6" s="7">
        <f>$B6 * IFERROR(VLOOKUP("industry|NOx|Asthma symptoms cough", US_national_yearly!$D:$AM, 31, FALSE) / VLOOKUP("industry|NOx|Asthma symptoms cough", US_national_yearly!$D:$AM, 10, FALSE), 1)</f>
        <v>7.8820928954099253E-4</v>
      </c>
      <c r="X6" s="7">
        <f>$B6 * IFERROR(VLOOKUP("industry|NOx|Asthma symptoms cough", US_national_yearly!$D:$AM, 32, FALSE) / VLOOKUP("industry|NOx|Asthma symptoms cough", US_national_yearly!$D:$AM, 10, FALSE), 1)</f>
        <v>7.9179476329714637E-4</v>
      </c>
      <c r="Y6" s="7">
        <f>$B6 * IFERROR(VLOOKUP("industry|NOx|Asthma symptoms cough", US_national_yearly!$D:$AM, 33, FALSE) / VLOOKUP("industry|NOx|Asthma symptoms cough", US_national_yearly!$D:$AM, 10, FALSE), 1)</f>
        <v>7.9538023705329999E-4</v>
      </c>
      <c r="Z6" s="7">
        <f>$B6 * IFERROR(VLOOKUP("industry|NOx|Asthma symptoms cough", US_national_yearly!$D:$AM, 34, FALSE) / VLOOKUP("industry|NOx|Asthma symptoms cough", US_national_yearly!$D:$AM, 10, FALSE), 1)</f>
        <v>7.9896571080945384E-4</v>
      </c>
      <c r="AA6" s="7">
        <f>$B6 * IFERROR(VLOOKUP("industry|NOx|Asthma symptoms cough", US_national_yearly!$D:$AM, 35, FALSE) / VLOOKUP("industry|NOx|Asthma symptoms cough", US_national_yearly!$D:$AM, 10, FALSE), 1)</f>
        <v>8.0255118456560757E-4</v>
      </c>
      <c r="AB6" s="7">
        <f>$B6 * IFERROR(VLOOKUP("industry|NOx|Asthma symptoms cough", US_national_yearly!$D:$AM, 36, FALSE) / VLOOKUP("industry|NOx|Asthma symptoms cough", US_national_yearly!$D:$AM, 10, FALSE), 1)</f>
        <v>8.0613665832176141E-4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9.2649962929465405E-4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9.3917445857456968E-4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9.5184928785448531E-4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9.6452411713440084E-4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9.7719894641431679E-4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9.8736219314008063E-4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9.9752543986584489E-4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1.0010623397907644E-3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1.0045992397156841E-3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1.0081361396406035E-3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1.0116730395655234E-3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1.0152099394904429E-3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1.0192474073186253E-3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1.0232848751468074E-3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1.0273223429749898E-3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1.0313598108031721E-3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1.0353972786313545E-3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1.0406054335093725E-3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1.0458135883873909E-3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1.0510217432654089E-3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1.0562298981434274E-3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1.0614380530214451E-3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1.0662664130875025E-3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1.0710947731535597E-3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1.0759231332196169E-3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1.0807514932856738E-3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1.085579853351731E-3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1.4155348105778654E-3</v>
      </c>
      <c r="C8" s="7">
        <f>$B8 * IFERROR(VLOOKUP("industry|NOx|Asthma symptoms wheeze", US_national_yearly!$D:$AM, 11, FALSE) / VLOOKUP("industry|NOx|Asthma symptoms wheeze", US_national_yearly!$D:$AM, 10, FALSE), 1)</f>
        <v>1.4348998071161288E-3</v>
      </c>
      <c r="D8" s="7">
        <f>$B8 * IFERROR(VLOOKUP("industry|NOx|Asthma symptoms wheeze", US_national_yearly!$D:$AM, 12, FALSE) / VLOOKUP("industry|NOx|Asthma symptoms wheeze", US_national_yearly!$D:$AM, 10, FALSE), 1)</f>
        <v>1.454264803654392E-3</v>
      </c>
      <c r="E8" s="7">
        <f>$B8 * IFERROR(VLOOKUP("industry|NOx|Asthma symptoms wheeze", US_national_yearly!$D:$AM, 13, FALSE) / VLOOKUP("industry|NOx|Asthma symptoms wheeze", US_national_yearly!$D:$AM, 10, FALSE), 1)</f>
        <v>1.4736298001926554E-3</v>
      </c>
      <c r="F8" s="7">
        <f>$B8 * IFERROR(VLOOKUP("industry|NOx|Asthma symptoms wheeze", US_national_yearly!$D:$AM, 14, FALSE) / VLOOKUP("industry|NOx|Asthma symptoms wheeze", US_national_yearly!$D:$AM, 10, FALSE), 1)</f>
        <v>1.4929947967309183E-3</v>
      </c>
      <c r="G8" s="7">
        <f>$B8 * IFERROR(VLOOKUP("industry|NOx|Asthma symptoms wheeze", US_national_yearly!$D:$AM, 15, FALSE) / VLOOKUP("industry|NOx|Asthma symptoms wheeze", US_national_yearly!$D:$AM, 10, FALSE), 1)</f>
        <v>1.5085225197223825E-3</v>
      </c>
      <c r="H8" s="7">
        <f>$B8 * IFERROR(VLOOKUP("industry|NOx|Asthma symptoms wheeze", US_national_yearly!$D:$AM, 16, FALSE) / VLOOKUP("industry|NOx|Asthma symptoms wheeze", US_national_yearly!$D:$AM, 10, FALSE), 1)</f>
        <v>1.5240502427138461E-3</v>
      </c>
      <c r="I8" s="7">
        <f>$B8 * IFERROR(VLOOKUP("industry|NOx|Asthma symptoms wheeze", US_national_yearly!$D:$AM, 17, FALSE) / VLOOKUP("industry|NOx|Asthma symptoms wheeze", US_national_yearly!$D:$AM, 10, FALSE), 1)</f>
        <v>1.5294540279737216E-3</v>
      </c>
      <c r="J8" s="7">
        <f>$B8 * IFERROR(VLOOKUP("industry|NOx|Asthma symptoms wheeze", US_national_yearly!$D:$AM, 18, FALSE) / VLOOKUP("industry|NOx|Asthma symptoms wheeze", US_national_yearly!$D:$AM, 10, FALSE), 1)</f>
        <v>1.5348578132335971E-3</v>
      </c>
      <c r="K8" s="7">
        <f>$B8 * IFERROR(VLOOKUP("industry|NOx|Asthma symptoms wheeze", US_national_yearly!$D:$AM, 19, FALSE) / VLOOKUP("industry|NOx|Asthma symptoms wheeze", US_national_yearly!$D:$AM, 10, FALSE), 1)</f>
        <v>1.5402615984934727E-3</v>
      </c>
      <c r="L8" s="7">
        <f>$B8 * IFERROR(VLOOKUP("industry|NOx|Asthma symptoms wheeze", US_national_yearly!$D:$AM, 20, FALSE) / VLOOKUP("industry|NOx|Asthma symptoms wheeze", US_national_yearly!$D:$AM, 10, FALSE), 1)</f>
        <v>1.5456653837533478E-3</v>
      </c>
      <c r="M8" s="7">
        <f>$B8 * IFERROR(VLOOKUP("industry|NOx|Asthma symptoms wheeze", US_national_yearly!$D:$AM, 21, FALSE) / VLOOKUP("industry|NOx|Asthma symptoms wheeze", US_national_yearly!$D:$AM, 10, FALSE), 1)</f>
        <v>1.5510691690132235E-3</v>
      </c>
      <c r="N8" s="7">
        <f>$B8 * IFERROR(VLOOKUP("industry|NOx|Asthma symptoms wheeze", US_national_yearly!$D:$AM, 22, FALSE) / VLOOKUP("industry|NOx|Asthma symptoms wheeze", US_national_yearly!$D:$AM, 10, FALSE), 1)</f>
        <v>1.5572377374022492E-3</v>
      </c>
      <c r="O8" s="7">
        <f>$B8 * IFERROR(VLOOKUP("industry|NOx|Asthma symptoms wheeze", US_national_yearly!$D:$AM, 23, FALSE) / VLOOKUP("industry|NOx|Asthma symptoms wheeze", US_national_yearly!$D:$AM, 10, FALSE), 1)</f>
        <v>1.5634063057912749E-3</v>
      </c>
      <c r="P8" s="7">
        <f>$B8 * IFERROR(VLOOKUP("industry|NOx|Asthma symptoms wheeze", US_national_yearly!$D:$AM, 24, FALSE) / VLOOKUP("industry|NOx|Asthma symptoms wheeze", US_national_yearly!$D:$AM, 10, FALSE), 1)</f>
        <v>1.5695748741803004E-3</v>
      </c>
      <c r="Q8" s="7">
        <f>$B8 * IFERROR(VLOOKUP("industry|NOx|Asthma symptoms wheeze", US_national_yearly!$D:$AM, 25, FALSE) / VLOOKUP("industry|NOx|Asthma symptoms wheeze", US_national_yearly!$D:$AM, 10, FALSE), 1)</f>
        <v>1.5757434425693261E-3</v>
      </c>
      <c r="R8" s="7">
        <f>$B8 * IFERROR(VLOOKUP("industry|NOx|Asthma symptoms wheeze", US_national_yearly!$D:$AM, 26, FALSE) / VLOOKUP("industry|NOx|Asthma symptoms wheeze", US_national_yearly!$D:$AM, 10, FALSE), 1)</f>
        <v>1.5819120109583518E-3</v>
      </c>
      <c r="S8" s="7">
        <f>$B8 * IFERROR(VLOOKUP("industry|NOx|Asthma symptoms wheeze", US_national_yearly!$D:$AM, 27, FALSE) / VLOOKUP("industry|NOx|Asthma symptoms wheeze", US_national_yearly!$D:$AM, 10, FALSE), 1)</f>
        <v>1.5898691912430022E-3</v>
      </c>
      <c r="T8" s="7">
        <f>$B8 * IFERROR(VLOOKUP("industry|NOx|Asthma symptoms wheeze", US_national_yearly!$D:$AM, 28, FALSE) / VLOOKUP("industry|NOx|Asthma symptoms wheeze", US_national_yearly!$D:$AM, 10, FALSE), 1)</f>
        <v>1.5978263715276521E-3</v>
      </c>
      <c r="U8" s="7">
        <f>$B8 * IFERROR(VLOOKUP("industry|NOx|Asthma symptoms wheeze", US_national_yearly!$D:$AM, 29, FALSE) / VLOOKUP("industry|NOx|Asthma symptoms wheeze", US_national_yearly!$D:$AM, 10, FALSE), 1)</f>
        <v>1.605783551812302E-3</v>
      </c>
      <c r="V8" s="7">
        <f>$B8 * IFERROR(VLOOKUP("industry|NOx|Asthma symptoms wheeze", US_national_yearly!$D:$AM, 30, FALSE) / VLOOKUP("industry|NOx|Asthma symptoms wheeze", US_national_yearly!$D:$AM, 10, FALSE), 1)</f>
        <v>1.6137407320969519E-3</v>
      </c>
      <c r="W8" s="7">
        <f>$B8 * IFERROR(VLOOKUP("industry|NOx|Asthma symptoms wheeze", US_national_yearly!$D:$AM, 31, FALSE) / VLOOKUP("industry|NOx|Asthma symptoms wheeze", US_national_yearly!$D:$AM, 10, FALSE), 1)</f>
        <v>1.621697912381602E-3</v>
      </c>
      <c r="X8" s="7">
        <f>$B8 * IFERROR(VLOOKUP("industry|NOx|Asthma symptoms wheeze", US_national_yearly!$D:$AM, 32, FALSE) / VLOOKUP("industry|NOx|Asthma symptoms wheeze", US_national_yearly!$D:$AM, 10, FALSE), 1)</f>
        <v>1.629074830401522E-3</v>
      </c>
      <c r="Y8" s="7">
        <f>$B8 * IFERROR(VLOOKUP("industry|NOx|Asthma symptoms wheeze", US_national_yearly!$D:$AM, 33, FALSE) / VLOOKUP("industry|NOx|Asthma symptoms wheeze", US_national_yearly!$D:$AM, 10, FALSE), 1)</f>
        <v>1.6364517484214417E-3</v>
      </c>
      <c r="Z8" s="7">
        <f>$B8 * IFERROR(VLOOKUP("industry|NOx|Asthma symptoms wheeze", US_national_yearly!$D:$AM, 34, FALSE) / VLOOKUP("industry|NOx|Asthma symptoms wheeze", US_national_yearly!$D:$AM, 10, FALSE), 1)</f>
        <v>1.6438286664413615E-3</v>
      </c>
      <c r="AA8" s="7">
        <f>$B8 * IFERROR(VLOOKUP("industry|NOx|Asthma symptoms wheeze", US_national_yearly!$D:$AM, 35, FALSE) / VLOOKUP("industry|NOx|Asthma symptoms wheeze", US_national_yearly!$D:$AM, 10, FALSE), 1)</f>
        <v>1.651205584461281E-3</v>
      </c>
      <c r="AB8" s="7">
        <f>$B8 * IFERROR(VLOOKUP("industry|NOx|Asthma symptoms wheeze", US_national_yearly!$D:$AM, 36, FALSE) / VLOOKUP("industry|NOx|Asthma symptoms wheeze", US_national_yearly!$D:$AM, 10, FALSE), 1)</f>
        <v>1.6585825024812021E-3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2.368008958821191E-5</v>
      </c>
      <c r="C12" s="7">
        <f>$B12 * IFERROR(VLOOKUP("industry|NOx|Respiratory hospital admissions", US_national_yearly!$D:$AM, 11, FALSE) / VLOOKUP("industry|NOx|Respiratory hospital admissions", US_national_yearly!$D:$AM, 10, FALSE), 1)</f>
        <v>2.4275011891132553E-5</v>
      </c>
      <c r="D12" s="7">
        <f>$B12 * IFERROR(VLOOKUP("industry|NOx|Respiratory hospital admissions", US_national_yearly!$D:$AM, 12, FALSE) / VLOOKUP("industry|NOx|Respiratory hospital admissions", US_national_yearly!$D:$AM, 10, FALSE), 1)</f>
        <v>2.4869934194053192E-5</v>
      </c>
      <c r="E12" s="7">
        <f>$B12 * IFERROR(VLOOKUP("industry|NOx|Respiratory hospital admissions", US_national_yearly!$D:$AM, 13, FALSE) / VLOOKUP("industry|NOx|Respiratory hospital admissions", US_national_yearly!$D:$AM, 10, FALSE), 1)</f>
        <v>2.5464856496973841E-5</v>
      </c>
      <c r="F12" s="7">
        <f>$B12 * IFERROR(VLOOKUP("industry|NOx|Respiratory hospital admissions", US_national_yearly!$D:$AM, 14, FALSE) / VLOOKUP("industry|NOx|Respiratory hospital admissions", US_national_yearly!$D:$AM, 10, FALSE), 1)</f>
        <v>2.6059778799894477E-5</v>
      </c>
      <c r="G12" s="7">
        <f>$B12 * IFERROR(VLOOKUP("industry|NOx|Respiratory hospital admissions", US_national_yearly!$D:$AM, 15, FALSE) / VLOOKUP("industry|NOx|Respiratory hospital admissions", US_national_yearly!$D:$AM, 10, FALSE), 1)</f>
        <v>2.6628848437194449E-5</v>
      </c>
      <c r="H12" s="7">
        <f>$B12 * IFERROR(VLOOKUP("industry|NOx|Respiratory hospital admissions", US_national_yearly!$D:$AM, 16, FALSE) / VLOOKUP("industry|NOx|Respiratory hospital admissions", US_national_yearly!$D:$AM, 10, FALSE), 1)</f>
        <v>2.7197918074494422E-5</v>
      </c>
      <c r="I12" s="7">
        <f>$B12 * IFERROR(VLOOKUP("industry|NOx|Respiratory hospital admissions", US_national_yearly!$D:$AM, 17, FALSE) / VLOOKUP("industry|NOx|Respiratory hospital admissions", US_national_yearly!$D:$AM, 10, FALSE), 1)</f>
        <v>2.7682558145827486E-5</v>
      </c>
      <c r="J12" s="7">
        <f>$B12 * IFERROR(VLOOKUP("industry|NOx|Respiratory hospital admissions", US_national_yearly!$D:$AM, 18, FALSE) / VLOOKUP("industry|NOx|Respiratory hospital admissions", US_national_yearly!$D:$AM, 10, FALSE), 1)</f>
        <v>2.816719821716055E-5</v>
      </c>
      <c r="K12" s="7">
        <f>$B12 * IFERROR(VLOOKUP("industry|NOx|Respiratory hospital admissions", US_national_yearly!$D:$AM, 19, FALSE) / VLOOKUP("industry|NOx|Respiratory hospital admissions", US_national_yearly!$D:$AM, 10, FALSE), 1)</f>
        <v>2.8651838288493621E-5</v>
      </c>
      <c r="L12" s="7">
        <f>$B12 * IFERROR(VLOOKUP("industry|NOx|Respiratory hospital admissions", US_national_yearly!$D:$AM, 20, FALSE) / VLOOKUP("industry|NOx|Respiratory hospital admissions", US_national_yearly!$D:$AM, 10, FALSE), 1)</f>
        <v>2.9136478359826692E-5</v>
      </c>
      <c r="M12" s="7">
        <f>$B12 * IFERROR(VLOOKUP("industry|NOx|Respiratory hospital admissions", US_national_yearly!$D:$AM, 21, FALSE) / VLOOKUP("industry|NOx|Respiratory hospital admissions", US_national_yearly!$D:$AM, 10, FALSE), 1)</f>
        <v>2.9621118431159759E-5</v>
      </c>
      <c r="N12" s="7">
        <f>$B12 * IFERROR(VLOOKUP("industry|NOx|Respiratory hospital admissions", US_national_yearly!$D:$AM, 22, FALSE) / VLOOKUP("industry|NOx|Respiratory hospital admissions", US_national_yearly!$D:$AM, 10, FALSE), 1)</f>
        <v>2.9945932440429785E-5</v>
      </c>
      <c r="O12" s="7">
        <f>$B12 * IFERROR(VLOOKUP("industry|NOx|Respiratory hospital admissions", US_national_yearly!$D:$AM, 23, FALSE) / VLOOKUP("industry|NOx|Respiratory hospital admissions", US_national_yearly!$D:$AM, 10, FALSE), 1)</f>
        <v>3.0270746449699808E-5</v>
      </c>
      <c r="P12" s="7">
        <f>$B12 * IFERROR(VLOOKUP("industry|NOx|Respiratory hospital admissions", US_national_yearly!$D:$AM, 24, FALSE) / VLOOKUP("industry|NOx|Respiratory hospital admissions", US_national_yearly!$D:$AM, 10, FALSE), 1)</f>
        <v>3.0595560458969837E-5</v>
      </c>
      <c r="Q12" s="7">
        <f>$B12 * IFERROR(VLOOKUP("industry|NOx|Respiratory hospital admissions", US_national_yearly!$D:$AM, 25, FALSE) / VLOOKUP("industry|NOx|Respiratory hospital admissions", US_national_yearly!$D:$AM, 10, FALSE), 1)</f>
        <v>3.0920374468239859E-5</v>
      </c>
      <c r="R12" s="7">
        <f>$B12 * IFERROR(VLOOKUP("industry|NOx|Respiratory hospital admissions", US_national_yearly!$D:$AM, 26, FALSE) / VLOOKUP("industry|NOx|Respiratory hospital admissions", US_national_yearly!$D:$AM, 10, FALSE), 1)</f>
        <v>3.1245188477509888E-5</v>
      </c>
      <c r="S12" s="7">
        <f>$B12 * IFERROR(VLOOKUP("industry|NOx|Respiratory hospital admissions", US_national_yearly!$D:$AM, 27, FALSE) / VLOOKUP("industry|NOx|Respiratory hospital admissions", US_national_yearly!$D:$AM, 10, FALSE), 1)</f>
        <v>3.1421534262391031E-5</v>
      </c>
      <c r="T12" s="7">
        <f>$B12 * IFERROR(VLOOKUP("industry|NOx|Respiratory hospital admissions", US_national_yearly!$D:$AM, 28, FALSE) / VLOOKUP("industry|NOx|Respiratory hospital admissions", US_national_yearly!$D:$AM, 10, FALSE), 1)</f>
        <v>3.1597880047272187E-5</v>
      </c>
      <c r="U12" s="7">
        <f>$B12 * IFERROR(VLOOKUP("industry|NOx|Respiratory hospital admissions", US_national_yearly!$D:$AM, 29, FALSE) / VLOOKUP("industry|NOx|Respiratory hospital admissions", US_national_yearly!$D:$AM, 10, FALSE), 1)</f>
        <v>3.1774225832153329E-5</v>
      </c>
      <c r="V12" s="7">
        <f>$B12 * IFERROR(VLOOKUP("industry|NOx|Respiratory hospital admissions", US_national_yearly!$D:$AM, 30, FALSE) / VLOOKUP("industry|NOx|Respiratory hospital admissions", US_national_yearly!$D:$AM, 10, FALSE), 1)</f>
        <v>3.1950571617034479E-5</v>
      </c>
      <c r="W12" s="7">
        <f>$B12 * IFERROR(VLOOKUP("industry|NOx|Respiratory hospital admissions", US_national_yearly!$D:$AM, 31, FALSE) / VLOOKUP("industry|NOx|Respiratory hospital admissions", US_national_yearly!$D:$AM, 10, FALSE), 1)</f>
        <v>3.2126917401915628E-5</v>
      </c>
      <c r="X12" s="7">
        <f>$B12 * IFERROR(VLOOKUP("industry|NOx|Respiratory hospital admissions", US_national_yearly!$D:$AM, 32, FALSE) / VLOOKUP("industry|NOx|Respiratory hospital admissions", US_national_yearly!$D:$AM, 10, FALSE), 1)</f>
        <v>3.2249876546243103E-5</v>
      </c>
      <c r="Y12" s="7">
        <f>$B12 * IFERROR(VLOOKUP("industry|NOx|Respiratory hospital admissions", US_national_yearly!$D:$AM, 33, FALSE) / VLOOKUP("industry|NOx|Respiratory hospital admissions", US_national_yearly!$D:$AM, 10, FALSE), 1)</f>
        <v>3.2372835690570572E-5</v>
      </c>
      <c r="Z12" s="7">
        <f>$B12 * IFERROR(VLOOKUP("industry|NOx|Respiratory hospital admissions", US_national_yearly!$D:$AM, 34, FALSE) / VLOOKUP("industry|NOx|Respiratory hospital admissions", US_national_yearly!$D:$AM, 10, FALSE), 1)</f>
        <v>3.2495794834898053E-5</v>
      </c>
      <c r="AA12" s="7">
        <f>$B12 * IFERROR(VLOOKUP("industry|NOx|Respiratory hospital admissions", US_national_yearly!$D:$AM, 35, FALSE) / VLOOKUP("industry|NOx|Respiratory hospital admissions", US_national_yearly!$D:$AM, 10, FALSE), 1)</f>
        <v>3.2618753979225522E-5</v>
      </c>
      <c r="AB12" s="7">
        <f>$B12 * IFERROR(VLOOKUP("industry|NOx|Respiratory hospital admissions", US_national_yearly!$D:$AM, 36, FALSE) / VLOOKUP("industry|NOx|Respiratory hospital admissions", US_national_yearly!$D:$AM, 10, FALSE), 1)</f>
        <v>3.2741713123552997E-5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1.2713847136137062E-4</v>
      </c>
      <c r="C13" s="7">
        <f>$B13 * IFERROR(VLOOKUP("industry|NOx|Non-fatal heart attacks", US_national_yearly!$D:$AM, 11, FALSE) / VLOOKUP("industry|NOx|Non-fatal heart attacks", US_national_yearly!$D:$AM, 10, FALSE), 1)</f>
        <v>1.3077093932242585E-4</v>
      </c>
      <c r="D13" s="7">
        <f>$B13 * IFERROR(VLOOKUP("industry|NOx|Non-fatal heart attacks", US_national_yearly!$D:$AM, 12, FALSE) / VLOOKUP("industry|NOx|Non-fatal heart attacks", US_national_yearly!$D:$AM, 10, FALSE), 1)</f>
        <v>1.3440340728348112E-4</v>
      </c>
      <c r="E13" s="7">
        <f>$B13 * IFERROR(VLOOKUP("industry|NOx|Non-fatal heart attacks", US_national_yearly!$D:$AM, 13, FALSE) / VLOOKUP("industry|NOx|Non-fatal heart attacks", US_national_yearly!$D:$AM, 10, FALSE), 1)</f>
        <v>1.3803587524453635E-4</v>
      </c>
      <c r="F13" s="7">
        <f>$B13 * IFERROR(VLOOKUP("industry|NOx|Non-fatal heart attacks", US_national_yearly!$D:$AM, 14, FALSE) / VLOOKUP("industry|NOx|Non-fatal heart attacks", US_national_yearly!$D:$AM, 10, FALSE), 1)</f>
        <v>1.4166834320559159E-4</v>
      </c>
      <c r="G13" s="7">
        <f>$B13 * IFERROR(VLOOKUP("industry|NOx|Non-fatal heart attacks", US_national_yearly!$D:$AM, 15, FALSE) / VLOOKUP("industry|NOx|Non-fatal heart attacks", US_national_yearly!$D:$AM, 10, FALSE), 1)</f>
        <v>1.450657589060747E-4</v>
      </c>
      <c r="H13" s="7">
        <f>$B13 * IFERROR(VLOOKUP("industry|NOx|Non-fatal heart attacks", US_national_yearly!$D:$AM, 16, FALSE) / VLOOKUP("industry|NOx|Non-fatal heart attacks", US_national_yearly!$D:$AM, 10, FALSE), 1)</f>
        <v>1.4846317460655777E-4</v>
      </c>
      <c r="I13" s="7">
        <f>$B13 * IFERROR(VLOOKUP("industry|NOx|Non-fatal heart attacks", US_national_yearly!$D:$AM, 17, FALSE) / VLOOKUP("industry|NOx|Non-fatal heart attacks", US_national_yearly!$D:$AM, 10, FALSE), 1)</f>
        <v>1.5115017329213467E-4</v>
      </c>
      <c r="J13" s="7">
        <f>$B13 * IFERROR(VLOOKUP("industry|NOx|Non-fatal heart attacks", US_national_yearly!$D:$AM, 18, FALSE) / VLOOKUP("industry|NOx|Non-fatal heart attacks", US_national_yearly!$D:$AM, 10, FALSE), 1)</f>
        <v>1.5383717197771157E-4</v>
      </c>
      <c r="K13" s="7">
        <f>$B13 * IFERROR(VLOOKUP("industry|NOx|Non-fatal heart attacks", US_national_yearly!$D:$AM, 19, FALSE) / VLOOKUP("industry|NOx|Non-fatal heart attacks", US_national_yearly!$D:$AM, 10, FALSE), 1)</f>
        <v>1.5652417066328844E-4</v>
      </c>
      <c r="L13" s="7">
        <f>$B13 * IFERROR(VLOOKUP("industry|NOx|Non-fatal heart attacks", US_national_yearly!$D:$AM, 20, FALSE) / VLOOKUP("industry|NOx|Non-fatal heart attacks", US_national_yearly!$D:$AM, 10, FALSE), 1)</f>
        <v>1.5921116934886539E-4</v>
      </c>
      <c r="M13" s="7">
        <f>$B13 * IFERROR(VLOOKUP("industry|NOx|Non-fatal heart attacks", US_national_yearly!$D:$AM, 21, FALSE) / VLOOKUP("industry|NOx|Non-fatal heart attacks", US_national_yearly!$D:$AM, 10, FALSE), 1)</f>
        <v>1.6189816803444232E-4</v>
      </c>
      <c r="N13" s="7">
        <f>$B13 * IFERROR(VLOOKUP("industry|NOx|Non-fatal heart attacks", US_national_yearly!$D:$AM, 22, FALSE) / VLOOKUP("industry|NOx|Non-fatal heart attacks", US_national_yearly!$D:$AM, 10, FALSE), 1)</f>
        <v>1.6351695577887832E-4</v>
      </c>
      <c r="O13" s="7">
        <f>$B13 * IFERROR(VLOOKUP("industry|NOx|Non-fatal heart attacks", US_national_yearly!$D:$AM, 23, FALSE) / VLOOKUP("industry|NOx|Non-fatal heart attacks", US_national_yearly!$D:$AM, 10, FALSE), 1)</f>
        <v>1.651357435233143E-4</v>
      </c>
      <c r="P13" s="7">
        <f>$B13 * IFERROR(VLOOKUP("industry|NOx|Non-fatal heart attacks", US_national_yearly!$D:$AM, 24, FALSE) / VLOOKUP("industry|NOx|Non-fatal heart attacks", US_national_yearly!$D:$AM, 10, FALSE), 1)</f>
        <v>1.6675453126775025E-4</v>
      </c>
      <c r="Q13" s="7">
        <f>$B13 * IFERROR(VLOOKUP("industry|NOx|Non-fatal heart attacks", US_national_yearly!$D:$AM, 25, FALSE) / VLOOKUP("industry|NOx|Non-fatal heart attacks", US_national_yearly!$D:$AM, 10, FALSE), 1)</f>
        <v>1.6837331901218622E-4</v>
      </c>
      <c r="R13" s="7">
        <f>$B13 * IFERROR(VLOOKUP("industry|NOx|Non-fatal heart attacks", US_national_yearly!$D:$AM, 26, FALSE) / VLOOKUP("industry|NOx|Non-fatal heart attacks", US_national_yearly!$D:$AM, 10, FALSE), 1)</f>
        <v>1.6999210675662217E-4</v>
      </c>
      <c r="S13" s="7">
        <f>$B13 * IFERROR(VLOOKUP("industry|NOx|Non-fatal heart attacks", US_national_yearly!$D:$AM, 27, FALSE) / VLOOKUP("industry|NOx|Non-fatal heart attacks", US_national_yearly!$D:$AM, 10, FALSE), 1)</f>
        <v>1.7073483886278468E-4</v>
      </c>
      <c r="T13" s="7">
        <f>$B13 * IFERROR(VLOOKUP("industry|NOx|Non-fatal heart attacks", US_national_yearly!$D:$AM, 28, FALSE) / VLOOKUP("industry|NOx|Non-fatal heart attacks", US_national_yearly!$D:$AM, 10, FALSE), 1)</f>
        <v>1.7147757096894713E-4</v>
      </c>
      <c r="U13" s="7">
        <f>$B13 * IFERROR(VLOOKUP("industry|NOx|Non-fatal heart attacks", US_national_yearly!$D:$AM, 29, FALSE) / VLOOKUP("industry|NOx|Non-fatal heart attacks", US_national_yearly!$D:$AM, 10, FALSE), 1)</f>
        <v>1.7222030307510961E-4</v>
      </c>
      <c r="V13" s="7">
        <f>$B13 * IFERROR(VLOOKUP("industry|NOx|Non-fatal heart attacks", US_national_yearly!$D:$AM, 30, FALSE) / VLOOKUP("industry|NOx|Non-fatal heart attacks", US_national_yearly!$D:$AM, 10, FALSE), 1)</f>
        <v>1.7296303518127208E-4</v>
      </c>
      <c r="W13" s="7">
        <f>$B13 * IFERROR(VLOOKUP("industry|NOx|Non-fatal heart attacks", US_national_yearly!$D:$AM, 31, FALSE) / VLOOKUP("industry|NOx|Non-fatal heart attacks", US_national_yearly!$D:$AM, 10, FALSE), 1)</f>
        <v>1.7370576728743453E-4</v>
      </c>
      <c r="X13" s="7">
        <f>$B13 * IFERROR(VLOOKUP("industry|NOx|Non-fatal heart attacks", US_national_yearly!$D:$AM, 32, FALSE) / VLOOKUP("industry|NOx|Non-fatal heart attacks", US_national_yearly!$D:$AM, 10, FALSE), 1)</f>
        <v>1.7420703008936818E-4</v>
      </c>
      <c r="Y13" s="7">
        <f>$B13 * IFERROR(VLOOKUP("industry|NOx|Non-fatal heart attacks", US_national_yearly!$D:$AM, 33, FALSE) / VLOOKUP("industry|NOx|Non-fatal heart attacks", US_national_yearly!$D:$AM, 10, FALSE), 1)</f>
        <v>1.7470829289130182E-4</v>
      </c>
      <c r="Z13" s="7">
        <f>$B13 * IFERROR(VLOOKUP("industry|NOx|Non-fatal heart attacks", US_national_yearly!$D:$AM, 34, FALSE) / VLOOKUP("industry|NOx|Non-fatal heart attacks", US_national_yearly!$D:$AM, 10, FALSE), 1)</f>
        <v>1.7520955569323547E-4</v>
      </c>
      <c r="AA13" s="7">
        <f>$B13 * IFERROR(VLOOKUP("industry|NOx|Non-fatal heart attacks", US_national_yearly!$D:$AM, 35, FALSE) / VLOOKUP("industry|NOx|Non-fatal heart attacks", US_national_yearly!$D:$AM, 10, FALSE), 1)</f>
        <v>1.7571081849516911E-4</v>
      </c>
      <c r="AB13" s="7">
        <f>$B13 * IFERROR(VLOOKUP("industry|NOx|Non-fatal heart attacks", US_national_yearly!$D:$AM, 36, FALSE) / VLOOKUP("industry|NOx|Non-fatal heart attacks", US_national_yearly!$D:$AM, 10, FALSE), 1)</f>
        <v>1.7621208129710273E-4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9.6884846494438848E-2</v>
      </c>
      <c r="C14" s="7">
        <f>$B14 * IFERROR(VLOOKUP("industry|NOx|Minor restricted activity days", US_national_yearly!$D:$AM, 11, FALSE) / VLOOKUP("industry|NOx|Minor restricted activity days", US_national_yearly!$D:$AM, 10, FALSE), 1)</f>
        <v>9.7028388870592674E-2</v>
      </c>
      <c r="D14" s="7">
        <f>$B14 * IFERROR(VLOOKUP("industry|NOx|Minor restricted activity days", US_national_yearly!$D:$AM, 12, FALSE) / VLOOKUP("industry|NOx|Minor restricted activity days", US_national_yearly!$D:$AM, 10, FALSE), 1)</f>
        <v>9.7171931246746474E-2</v>
      </c>
      <c r="E14" s="7">
        <f>$B14 * IFERROR(VLOOKUP("industry|NOx|Minor restricted activity days", US_national_yearly!$D:$AM, 13, FALSE) / VLOOKUP("industry|NOx|Minor restricted activity days", US_national_yearly!$D:$AM, 10, FALSE), 1)</f>
        <v>9.73154736229003E-2</v>
      </c>
      <c r="F14" s="7">
        <f>$B14 * IFERROR(VLOOKUP("industry|NOx|Minor restricted activity days", US_national_yearly!$D:$AM, 14, FALSE) / VLOOKUP("industry|NOx|Minor restricted activity days", US_national_yearly!$D:$AM, 10, FALSE), 1)</f>
        <v>9.7459015999054099E-2</v>
      </c>
      <c r="G14" s="7">
        <f>$B14 * IFERROR(VLOOKUP("industry|NOx|Minor restricted activity days", US_national_yearly!$D:$AM, 15, FALSE) / VLOOKUP("industry|NOx|Minor restricted activity days", US_national_yearly!$D:$AM, 10, FALSE), 1)</f>
        <v>9.772032147101023E-2</v>
      </c>
      <c r="H14" s="7">
        <f>$B14 * IFERROR(VLOOKUP("industry|NOx|Minor restricted activity days", US_national_yearly!$D:$AM, 16, FALSE) / VLOOKUP("industry|NOx|Minor restricted activity days", US_national_yearly!$D:$AM, 10, FALSE), 1)</f>
        <v>9.7981626942966374E-2</v>
      </c>
      <c r="I14" s="7">
        <f>$B14 * IFERROR(VLOOKUP("industry|NOx|Minor restricted activity days", US_national_yearly!$D:$AM, 17, FALSE) / VLOOKUP("industry|NOx|Minor restricted activity days", US_national_yearly!$D:$AM, 10, FALSE), 1)</f>
        <v>9.8496043960702759E-2</v>
      </c>
      <c r="J14" s="7">
        <f>$B14 * IFERROR(VLOOKUP("industry|NOx|Minor restricted activity days", US_national_yearly!$D:$AM, 18, FALSE) / VLOOKUP("industry|NOx|Minor restricted activity days", US_national_yearly!$D:$AM, 10, FALSE), 1)</f>
        <v>9.901046097843913E-2</v>
      </c>
      <c r="K14" s="7">
        <f>$B14 * IFERROR(VLOOKUP("industry|NOx|Minor restricted activity days", US_national_yearly!$D:$AM, 19, FALSE) / VLOOKUP("industry|NOx|Minor restricted activity days", US_national_yearly!$D:$AM, 10, FALSE), 1)</f>
        <v>9.9524877996175473E-2</v>
      </c>
      <c r="L14" s="7">
        <f>$B14 * IFERROR(VLOOKUP("industry|NOx|Minor restricted activity days", US_national_yearly!$D:$AM, 20, FALSE) / VLOOKUP("industry|NOx|Minor restricted activity days", US_national_yearly!$D:$AM, 10, FALSE), 1)</f>
        <v>0.10003929501391186</v>
      </c>
      <c r="M14" s="7">
        <f>$B14 * IFERROR(VLOOKUP("industry|NOx|Minor restricted activity days", US_national_yearly!$D:$AM, 21, FALSE) / VLOOKUP("industry|NOx|Minor restricted activity days", US_national_yearly!$D:$AM, 10, FALSE), 1)</f>
        <v>0.10055371203164822</v>
      </c>
      <c r="N14" s="7">
        <f>$B14 * IFERROR(VLOOKUP("industry|NOx|Minor restricted activity days", US_national_yearly!$D:$AM, 22, FALSE) / VLOOKUP("industry|NOx|Minor restricted activity days", US_national_yearly!$D:$AM, 10, FALSE), 1)</f>
        <v>0.10129450692702895</v>
      </c>
      <c r="O14" s="7">
        <f>$B14 * IFERROR(VLOOKUP("industry|NOx|Minor restricted activity days", US_national_yearly!$D:$AM, 23, FALSE) / VLOOKUP("industry|NOx|Minor restricted activity days", US_national_yearly!$D:$AM, 10, FALSE), 1)</f>
        <v>0.1020353018224097</v>
      </c>
      <c r="P14" s="7">
        <f>$B14 * IFERROR(VLOOKUP("industry|NOx|Minor restricted activity days", US_national_yearly!$D:$AM, 24, FALSE) / VLOOKUP("industry|NOx|Minor restricted activity days", US_national_yearly!$D:$AM, 10, FALSE), 1)</f>
        <v>0.10277609671779045</v>
      </c>
      <c r="Q14" s="7">
        <f>$B14 * IFERROR(VLOOKUP("industry|NOx|Minor restricted activity days", US_national_yearly!$D:$AM, 25, FALSE) / VLOOKUP("industry|NOx|Minor restricted activity days", US_national_yearly!$D:$AM, 10, FALSE), 1)</f>
        <v>0.10351689161317118</v>
      </c>
      <c r="R14" s="7">
        <f>$B14 * IFERROR(VLOOKUP("industry|NOx|Minor restricted activity days", US_national_yearly!$D:$AM, 26, FALSE) / VLOOKUP("industry|NOx|Minor restricted activity days", US_national_yearly!$D:$AM, 10, FALSE), 1)</f>
        <v>0.10425768650855194</v>
      </c>
      <c r="S14" s="7">
        <f>$B14 * IFERROR(VLOOKUP("industry|NOx|Minor restricted activity days", US_national_yearly!$D:$AM, 27, FALSE) / VLOOKUP("industry|NOx|Minor restricted activity days", US_national_yearly!$D:$AM, 10, FALSE), 1)</f>
        <v>0.10499927452400463</v>
      </c>
      <c r="T14" s="7">
        <f>$B14 * IFERROR(VLOOKUP("industry|NOx|Minor restricted activity days", US_national_yearly!$D:$AM, 28, FALSE) / VLOOKUP("industry|NOx|Minor restricted activity days", US_national_yearly!$D:$AM, 10, FALSE), 1)</f>
        <v>0.10574086253945734</v>
      </c>
      <c r="U14" s="7">
        <f>$B14 * IFERROR(VLOOKUP("industry|NOx|Minor restricted activity days", US_national_yearly!$D:$AM, 29, FALSE) / VLOOKUP("industry|NOx|Minor restricted activity days", US_national_yearly!$D:$AM, 10, FALSE), 1)</f>
        <v>0.10648245055491005</v>
      </c>
      <c r="V14" s="7">
        <f>$B14 * IFERROR(VLOOKUP("industry|NOx|Minor restricted activity days", US_national_yearly!$D:$AM, 30, FALSE) / VLOOKUP("industry|NOx|Minor restricted activity days", US_national_yearly!$D:$AM, 10, FALSE), 1)</f>
        <v>0.10722403857036276</v>
      </c>
      <c r="W14" s="7">
        <f>$B14 * IFERROR(VLOOKUP("industry|NOx|Minor restricted activity days", US_national_yearly!$D:$AM, 31, FALSE) / VLOOKUP("industry|NOx|Minor restricted activity days", US_national_yearly!$D:$AM, 10, FALSE), 1)</f>
        <v>0.10796562658581547</v>
      </c>
      <c r="X14" s="7">
        <f>$B14 * IFERROR(VLOOKUP("industry|NOx|Minor restricted activity days", US_national_yearly!$D:$AM, 32, FALSE) / VLOOKUP("industry|NOx|Minor restricted activity days", US_national_yearly!$D:$AM, 10, FALSE), 1)</f>
        <v>0.10859173852415306</v>
      </c>
      <c r="Y14" s="7">
        <f>$B14 * IFERROR(VLOOKUP("industry|NOx|Minor restricted activity days", US_national_yearly!$D:$AM, 33, FALSE) / VLOOKUP("industry|NOx|Minor restricted activity days", US_national_yearly!$D:$AM, 10, FALSE), 1)</f>
        <v>0.10921785046249063</v>
      </c>
      <c r="Z14" s="7">
        <f>$B14 * IFERROR(VLOOKUP("industry|NOx|Minor restricted activity days", US_national_yearly!$D:$AM, 34, FALSE) / VLOOKUP("industry|NOx|Minor restricted activity days", US_national_yearly!$D:$AM, 10, FALSE), 1)</f>
        <v>0.10984396240082821</v>
      </c>
      <c r="AA14" s="7">
        <f>$B14 * IFERROR(VLOOKUP("industry|NOx|Minor restricted activity days", US_national_yearly!$D:$AM, 35, FALSE) / VLOOKUP("industry|NOx|Minor restricted activity days", US_national_yearly!$D:$AM, 10, FALSE), 1)</f>
        <v>0.11047007433916579</v>
      </c>
      <c r="AB14" s="7">
        <f>$B14 * IFERROR(VLOOKUP("industry|NOx|Minor restricted activity days", US_national_yearly!$D:$AM, 36, FALSE) / VLOOKUP("industry|NOx|Minor restricted activity days", US_national_yearly!$D:$AM, 10, FALSE), 1)</f>
        <v>0.11109618627750338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1.6400130237267472E-2</v>
      </c>
      <c r="C15" s="7">
        <f>$B15 * IFERROR(VLOOKUP("industry|NOx|Work loss days", US_national_yearly!$D:$AM, 11, FALSE) / VLOOKUP("industry|NOx|Work loss days", US_national_yearly!$D:$AM, 10, FALSE), 1)</f>
        <v>1.6435664020288142E-2</v>
      </c>
      <c r="D15" s="7">
        <f>$B15 * IFERROR(VLOOKUP("industry|NOx|Work loss days", US_national_yearly!$D:$AM, 12, FALSE) / VLOOKUP("industry|NOx|Work loss days", US_national_yearly!$D:$AM, 10, FALSE), 1)</f>
        <v>1.6471197803308805E-2</v>
      </c>
      <c r="E15" s="7">
        <f>$B15 * IFERROR(VLOOKUP("industry|NOx|Work loss days", US_national_yearly!$D:$AM, 13, FALSE) / VLOOKUP("industry|NOx|Work loss days", US_national_yearly!$D:$AM, 10, FALSE), 1)</f>
        <v>1.6506731586329475E-2</v>
      </c>
      <c r="F15" s="7">
        <f>$B15 * IFERROR(VLOOKUP("industry|NOx|Work loss days", US_national_yearly!$D:$AM, 14, FALSE) / VLOOKUP("industry|NOx|Work loss days", US_national_yearly!$D:$AM, 10, FALSE), 1)</f>
        <v>1.6542265369350141E-2</v>
      </c>
      <c r="G15" s="7">
        <f>$B15 * IFERROR(VLOOKUP("industry|NOx|Work loss days", US_national_yearly!$D:$AM, 15, FALSE) / VLOOKUP("industry|NOx|Work loss days", US_national_yearly!$D:$AM, 10, FALSE), 1)</f>
        <v>1.6594242381777372E-2</v>
      </c>
      <c r="H15" s="7">
        <f>$B15 * IFERROR(VLOOKUP("industry|NOx|Work loss days", US_national_yearly!$D:$AM, 16, FALSE) / VLOOKUP("industry|NOx|Work loss days", US_national_yearly!$D:$AM, 10, FALSE), 1)</f>
        <v>1.6646219394204607E-2</v>
      </c>
      <c r="I15" s="7">
        <f>$B15 * IFERROR(VLOOKUP("industry|NOx|Work loss days", US_national_yearly!$D:$AM, 17, FALSE) / VLOOKUP("industry|NOx|Work loss days", US_national_yearly!$D:$AM, 10, FALSE), 1)</f>
        <v>1.6730668860388084E-2</v>
      </c>
      <c r="J15" s="7">
        <f>$B15 * IFERROR(VLOOKUP("industry|NOx|Work loss days", US_national_yearly!$D:$AM, 18, FALSE) / VLOOKUP("industry|NOx|Work loss days", US_national_yearly!$D:$AM, 10, FALSE), 1)</f>
        <v>1.6815118326571558E-2</v>
      </c>
      <c r="K15" s="7">
        <f>$B15 * IFERROR(VLOOKUP("industry|NOx|Work loss days", US_national_yearly!$D:$AM, 19, FALSE) / VLOOKUP("industry|NOx|Work loss days", US_national_yearly!$D:$AM, 10, FALSE), 1)</f>
        <v>1.6899567792755036E-2</v>
      </c>
      <c r="L15" s="7">
        <f>$B15 * IFERROR(VLOOKUP("industry|NOx|Work loss days", US_national_yearly!$D:$AM, 20, FALSE) / VLOOKUP("industry|NOx|Work loss days", US_national_yearly!$D:$AM, 10, FALSE), 1)</f>
        <v>1.698401725893851E-2</v>
      </c>
      <c r="M15" s="7">
        <f>$B15 * IFERROR(VLOOKUP("industry|NOx|Work loss days", US_national_yearly!$D:$AM, 21, FALSE) / VLOOKUP("industry|NOx|Work loss days", US_national_yearly!$D:$AM, 10, FALSE), 1)</f>
        <v>1.7068466725121988E-2</v>
      </c>
      <c r="N15" s="7">
        <f>$B15 * IFERROR(VLOOKUP("industry|NOx|Work loss days", US_national_yearly!$D:$AM, 22, FALSE) / VLOOKUP("industry|NOx|Work loss days", US_national_yearly!$D:$AM, 10, FALSE), 1)</f>
        <v>1.7178907475713896E-2</v>
      </c>
      <c r="O15" s="7">
        <f>$B15 * IFERROR(VLOOKUP("industry|NOx|Work loss days", US_national_yearly!$D:$AM, 23, FALSE) / VLOOKUP("industry|NOx|Work loss days", US_national_yearly!$D:$AM, 10, FALSE), 1)</f>
        <v>1.728934822630581E-2</v>
      </c>
      <c r="P15" s="7">
        <f>$B15 * IFERROR(VLOOKUP("industry|NOx|Work loss days", US_national_yearly!$D:$AM, 24, FALSE) / VLOOKUP("industry|NOx|Work loss days", US_national_yearly!$D:$AM, 10, FALSE), 1)</f>
        <v>1.7399788976897718E-2</v>
      </c>
      <c r="Q15" s="7">
        <f>$B15 * IFERROR(VLOOKUP("industry|NOx|Work loss days", US_national_yearly!$D:$AM, 25, FALSE) / VLOOKUP("industry|NOx|Work loss days", US_national_yearly!$D:$AM, 10, FALSE), 1)</f>
        <v>1.751022972748963E-2</v>
      </c>
      <c r="R15" s="7">
        <f>$B15 * IFERROR(VLOOKUP("industry|NOx|Work loss days", US_national_yearly!$D:$AM, 26, FALSE) / VLOOKUP("industry|NOx|Work loss days", US_national_yearly!$D:$AM, 10, FALSE), 1)</f>
        <v>1.7620670478081541E-2</v>
      </c>
      <c r="S15" s="7">
        <f>$B15 * IFERROR(VLOOKUP("industry|NOx|Work loss days", US_national_yearly!$D:$AM, 27, FALSE) / VLOOKUP("industry|NOx|Work loss days", US_national_yearly!$D:$AM, 10, FALSE), 1)</f>
        <v>1.7744136547636329E-2</v>
      </c>
      <c r="T15" s="7">
        <f>$B15 * IFERROR(VLOOKUP("industry|NOx|Work loss days", US_national_yearly!$D:$AM, 28, FALSE) / VLOOKUP("industry|NOx|Work loss days", US_national_yearly!$D:$AM, 10, FALSE), 1)</f>
        <v>1.7867602617191124E-2</v>
      </c>
      <c r="U15" s="7">
        <f>$B15 * IFERROR(VLOOKUP("industry|NOx|Work loss days", US_national_yearly!$D:$AM, 29, FALSE) / VLOOKUP("industry|NOx|Work loss days", US_national_yearly!$D:$AM, 10, FALSE), 1)</f>
        <v>1.7991068686745916E-2</v>
      </c>
      <c r="V15" s="7">
        <f>$B15 * IFERROR(VLOOKUP("industry|NOx|Work loss days", US_national_yearly!$D:$AM, 30, FALSE) / VLOOKUP("industry|NOx|Work loss days", US_national_yearly!$D:$AM, 10, FALSE), 1)</f>
        <v>1.8114534756300704E-2</v>
      </c>
      <c r="W15" s="7">
        <f>$B15 * IFERROR(VLOOKUP("industry|NOx|Work loss days", US_national_yearly!$D:$AM, 31, FALSE) / VLOOKUP("industry|NOx|Work loss days", US_national_yearly!$D:$AM, 10, FALSE), 1)</f>
        <v>1.8238000825855499E-2</v>
      </c>
      <c r="X15" s="7">
        <f>$B15 * IFERROR(VLOOKUP("industry|NOx|Work loss days", US_national_yearly!$D:$AM, 32, FALSE) / VLOOKUP("industry|NOx|Work loss days", US_national_yearly!$D:$AM, 10, FALSE), 1)</f>
        <v>1.8345111947073018E-2</v>
      </c>
      <c r="Y15" s="7">
        <f>$B15 * IFERROR(VLOOKUP("industry|NOx|Work loss days", US_national_yearly!$D:$AM, 33, FALSE) / VLOOKUP("industry|NOx|Work loss days", US_national_yearly!$D:$AM, 10, FALSE), 1)</f>
        <v>1.8452223068290533E-2</v>
      </c>
      <c r="Z15" s="7">
        <f>$B15 * IFERROR(VLOOKUP("industry|NOx|Work loss days", US_national_yearly!$D:$AM, 34, FALSE) / VLOOKUP("industry|NOx|Work loss days", US_national_yearly!$D:$AM, 10, FALSE), 1)</f>
        <v>1.8559334189508052E-2</v>
      </c>
      <c r="AA15" s="7">
        <f>$B15 * IFERROR(VLOOKUP("industry|NOx|Work loss days", US_national_yearly!$D:$AM, 35, FALSE) / VLOOKUP("industry|NOx|Work loss days", US_national_yearly!$D:$AM, 10, FALSE), 1)</f>
        <v>1.8666445310725571E-2</v>
      </c>
      <c r="AB15" s="7">
        <f>$B15 * IFERROR(VLOOKUP("industry|NOx|Work loss days", US_national_yearly!$D:$AM, 36, FALSE) / VLOOKUP("industry|NOx|Work loss days", US_national_yearly!$D:$AM, 10, FALSE), 1)</f>
        <v>1.8773556431943089E-2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3.0010739838640654E-5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3.0891935323597523E-5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3.17731308085544E-5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3.265432629351127E-5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3.3535521778468153E-5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3.4373031247566544E-5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3.5210540716664948E-5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3.5916621798872346E-5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3.6622702881079751E-5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3.7328783963287143E-5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3.8034865045494541E-5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3.8740946127701939E-5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3.9182981940900219E-5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3.9625017754098478E-5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4.0067053567296752E-5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4.0509089380495025E-5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4.0951125193693291E-5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4.115504500809579E-5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4.1358964822498289E-5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4.1562884636900788E-5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4.1766804451303287E-5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4.1970724265705786E-5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4.2085937535700259E-5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4.2201150805694739E-5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4.2316364075689213E-5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4.2431577345683679E-5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4.2546790615678166E-5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1.7079704568832142E-2</v>
      </c>
      <c r="C2" s="7">
        <f>$B2 * IFERROR(VLOOKUP("industry|SO2|Premature mortality", US_national_yearly!$D:$AM, 11, FALSE) / VLOOKUP("industry|SO2|Premature mortality", US_national_yearly!$D:$AM, 10, FALSE), 1)</f>
        <v>1.729622232172795E-2</v>
      </c>
      <c r="D2" s="7">
        <f>$B2 * IFERROR(VLOOKUP("industry|SO2|Premature mortality", US_national_yearly!$D:$AM, 12, FALSE) / VLOOKUP("industry|SO2|Premature mortality", US_national_yearly!$D:$AM, 10, FALSE), 1)</f>
        <v>1.7512740074623757E-2</v>
      </c>
      <c r="E2" s="7">
        <f>$B2 * IFERROR(VLOOKUP("industry|SO2|Premature mortality", US_national_yearly!$D:$AM, 13, FALSE) / VLOOKUP("industry|SO2|Premature mortality", US_national_yearly!$D:$AM, 10, FALSE), 1)</f>
        <v>1.7729257827519562E-2</v>
      </c>
      <c r="F2" s="7">
        <f>$B2 * IFERROR(VLOOKUP("industry|SO2|Premature mortality", US_national_yearly!$D:$AM, 14, FALSE) / VLOOKUP("industry|SO2|Premature mortality", US_national_yearly!$D:$AM, 10, FALSE), 1)</f>
        <v>1.7945775580415369E-2</v>
      </c>
      <c r="G2" s="7">
        <f>$B2 * IFERROR(VLOOKUP("industry|SO2|Premature mortality", US_national_yearly!$D:$AM, 15, FALSE) / VLOOKUP("industry|SO2|Premature mortality", US_national_yearly!$D:$AM, 10, FALSE), 1)</f>
        <v>1.8363105671245009E-2</v>
      </c>
      <c r="H2" s="7">
        <f>$B2 * IFERROR(VLOOKUP("industry|SO2|Premature mortality", US_national_yearly!$D:$AM, 16, FALSE) / VLOOKUP("industry|SO2|Premature mortality", US_national_yearly!$D:$AM, 10, FALSE), 1)</f>
        <v>1.8780435762074645E-2</v>
      </c>
      <c r="I2" s="7">
        <f>$B2 * IFERROR(VLOOKUP("industry|SO2|Premature mortality", US_national_yearly!$D:$AM, 17, FALSE) / VLOOKUP("industry|SO2|Premature mortality", US_national_yearly!$D:$AM, 10, FALSE), 1)</f>
        <v>1.9056779533406731E-2</v>
      </c>
      <c r="J2" s="7">
        <f>$B2 * IFERROR(VLOOKUP("industry|SO2|Premature mortality", US_national_yearly!$D:$AM, 18, FALSE) / VLOOKUP("industry|SO2|Premature mortality", US_national_yearly!$D:$AM, 10, FALSE), 1)</f>
        <v>1.9333123304738811E-2</v>
      </c>
      <c r="K2" s="7">
        <f>$B2 * IFERROR(VLOOKUP("industry|SO2|Premature mortality", US_national_yearly!$D:$AM, 19, FALSE) / VLOOKUP("industry|SO2|Premature mortality", US_national_yearly!$D:$AM, 10, FALSE), 1)</f>
        <v>1.9609467076070891E-2</v>
      </c>
      <c r="L2" s="7">
        <f>$B2 * IFERROR(VLOOKUP("industry|SO2|Premature mortality", US_national_yearly!$D:$AM, 20, FALSE) / VLOOKUP("industry|SO2|Premature mortality", US_national_yearly!$D:$AM, 10, FALSE), 1)</f>
        <v>1.9885810847402974E-2</v>
      </c>
      <c r="M2" s="7">
        <f>$B2 * IFERROR(VLOOKUP("industry|SO2|Premature mortality", US_national_yearly!$D:$AM, 21, FALSE) / VLOOKUP("industry|SO2|Premature mortality", US_national_yearly!$D:$AM, 10, FALSE), 1)</f>
        <v>2.0162154618735054E-2</v>
      </c>
      <c r="N2" s="7">
        <f>$B2 * IFERROR(VLOOKUP("industry|SO2|Premature mortality", US_national_yearly!$D:$AM, 22, FALSE) / VLOOKUP("industry|SO2|Premature mortality", US_national_yearly!$D:$AM, 10, FALSE), 1)</f>
        <v>2.0378321151788024E-2</v>
      </c>
      <c r="O2" s="7">
        <f>$B2 * IFERROR(VLOOKUP("industry|SO2|Premature mortality", US_national_yearly!$D:$AM, 23, FALSE) / VLOOKUP("industry|SO2|Premature mortality", US_national_yearly!$D:$AM, 10, FALSE), 1)</f>
        <v>2.0594487684840991E-2</v>
      </c>
      <c r="P2" s="7">
        <f>$B2 * IFERROR(VLOOKUP("industry|SO2|Premature mortality", US_national_yearly!$D:$AM, 24, FALSE) / VLOOKUP("industry|SO2|Premature mortality", US_national_yearly!$D:$AM, 10, FALSE), 1)</f>
        <v>2.0810654217893961E-2</v>
      </c>
      <c r="Q2" s="7">
        <f>$B2 * IFERROR(VLOOKUP("industry|SO2|Premature mortality", US_national_yearly!$D:$AM, 25, FALSE) / VLOOKUP("industry|SO2|Premature mortality", US_national_yearly!$D:$AM, 10, FALSE), 1)</f>
        <v>2.1026820750946928E-2</v>
      </c>
      <c r="R2" s="7">
        <f>$B2 * IFERROR(VLOOKUP("industry|SO2|Premature mortality", US_national_yearly!$D:$AM, 26, FALSE) / VLOOKUP("industry|SO2|Premature mortality", US_national_yearly!$D:$AM, 10, FALSE), 1)</f>
        <v>2.1242987283999898E-2</v>
      </c>
      <c r="S2" s="7">
        <f>$B2 * IFERROR(VLOOKUP("industry|SO2|Premature mortality", US_national_yearly!$D:$AM, 27, FALSE) / VLOOKUP("industry|SO2|Premature mortality", US_national_yearly!$D:$AM, 10, FALSE), 1)</f>
        <v>2.1359705303086399E-2</v>
      </c>
      <c r="T2" s="7">
        <f>$B2 * IFERROR(VLOOKUP("industry|SO2|Premature mortality", US_national_yearly!$D:$AM, 28, FALSE) / VLOOKUP("industry|SO2|Premature mortality", US_national_yearly!$D:$AM, 10, FALSE), 1)</f>
        <v>2.1476423322172901E-2</v>
      </c>
      <c r="U2" s="7">
        <f>$B2 * IFERROR(VLOOKUP("industry|SO2|Premature mortality", US_national_yearly!$D:$AM, 29, FALSE) / VLOOKUP("industry|SO2|Premature mortality", US_national_yearly!$D:$AM, 10, FALSE), 1)</f>
        <v>2.1593141341259409E-2</v>
      </c>
      <c r="V2" s="7">
        <f>$B2 * IFERROR(VLOOKUP("industry|SO2|Premature mortality", US_national_yearly!$D:$AM, 30, FALSE) / VLOOKUP("industry|SO2|Premature mortality", US_national_yearly!$D:$AM, 10, FALSE), 1)</f>
        <v>2.1709859360345914E-2</v>
      </c>
      <c r="W2" s="7">
        <f>$B2 * IFERROR(VLOOKUP("industry|SO2|Premature mortality", US_national_yearly!$D:$AM, 31, FALSE) / VLOOKUP("industry|SO2|Premature mortality", US_national_yearly!$D:$AM, 10, FALSE), 1)</f>
        <v>2.1826577379432419E-2</v>
      </c>
      <c r="X2" s="7">
        <f>$B2 * IFERROR(VLOOKUP("industry|SO2|Premature mortality", US_national_yearly!$D:$AM, 32, FALSE) / VLOOKUP("industry|SO2|Premature mortality", US_national_yearly!$D:$AM, 10, FALSE), 1)</f>
        <v>2.185169865866262E-2</v>
      </c>
      <c r="Y2" s="7">
        <f>$B2 * IFERROR(VLOOKUP("industry|SO2|Premature mortality", US_national_yearly!$D:$AM, 33, FALSE) / VLOOKUP("industry|SO2|Premature mortality", US_national_yearly!$D:$AM, 10, FALSE), 1)</f>
        <v>2.1876819937892818E-2</v>
      </c>
      <c r="Z2" s="7">
        <f>$B2 * IFERROR(VLOOKUP("industry|SO2|Premature mortality", US_national_yearly!$D:$AM, 34, FALSE) / VLOOKUP("industry|SO2|Premature mortality", US_national_yearly!$D:$AM, 10, FALSE), 1)</f>
        <v>2.1901941217123022E-2</v>
      </c>
      <c r="AA2" s="7">
        <f>$B2 * IFERROR(VLOOKUP("industry|SO2|Premature mortality", US_national_yearly!$D:$AM, 35, FALSE) / VLOOKUP("industry|SO2|Premature mortality", US_national_yearly!$D:$AM, 10, FALSE), 1)</f>
        <v>2.1927062496353223E-2</v>
      </c>
      <c r="AB2" s="7">
        <f>$B2 * IFERROR(VLOOKUP("industry|SO2|Premature mortality", US_national_yearly!$D:$AM, 36, FALSE) / VLOOKUP("industry|SO2|Premature mortality", US_national_yearly!$D:$AM, 10, FALSE), 1)</f>
        <v>2.1952183775583424E-2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2.6628374242771131E-5</v>
      </c>
      <c r="C3" s="7">
        <f>$B3 * IFERROR(VLOOKUP("industry|SO2|Infant mortality", US_national_yearly!$D:$AM, 11, FALSE) / VLOOKUP("industry|SO2|Infant mortality", US_national_yearly!$D:$AM, 10, FALSE), 1)</f>
        <v>2.6399288285666636E-5</v>
      </c>
      <c r="D3" s="7">
        <f>$B3 * IFERROR(VLOOKUP("industry|SO2|Infant mortality", US_national_yearly!$D:$AM, 12, FALSE) / VLOOKUP("industry|SO2|Infant mortality", US_national_yearly!$D:$AM, 10, FALSE), 1)</f>
        <v>2.617020232856214E-5</v>
      </c>
      <c r="E3" s="7">
        <f>$B3 * IFERROR(VLOOKUP("industry|SO2|Infant mortality", US_national_yearly!$D:$AM, 13, FALSE) / VLOOKUP("industry|SO2|Infant mortality", US_national_yearly!$D:$AM, 10, FALSE), 1)</f>
        <v>2.5941116371457644E-5</v>
      </c>
      <c r="F3" s="7">
        <f>$B3 * IFERROR(VLOOKUP("industry|SO2|Infant mortality", US_national_yearly!$D:$AM, 14, FALSE) / VLOOKUP("industry|SO2|Infant mortality", US_national_yearly!$D:$AM, 10, FALSE), 1)</f>
        <v>2.5712030414353148E-5</v>
      </c>
      <c r="G3" s="7">
        <f>$B3 * IFERROR(VLOOKUP("industry|SO2|Infant mortality", US_national_yearly!$D:$AM, 15, FALSE) / VLOOKUP("industry|SO2|Infant mortality", US_national_yearly!$D:$AM, 10, FALSE), 1)</f>
        <v>1.7116456126008688E-5</v>
      </c>
      <c r="H3" s="7">
        <f>$B3 * IFERROR(VLOOKUP("industry|SO2|Infant mortality", US_national_yearly!$D:$AM, 16, FALSE) / VLOOKUP("industry|SO2|Infant mortality", US_national_yearly!$D:$AM, 10, FALSE), 1)</f>
        <v>8.5208818376642272E-6</v>
      </c>
      <c r="I3" s="7">
        <f>$B3 * IFERROR(VLOOKUP("industry|SO2|Infant mortality", US_national_yearly!$D:$AM, 17, FALSE) / VLOOKUP("industry|SO2|Infant mortality", US_national_yearly!$D:$AM, 10, FALSE), 1)</f>
        <v>8.4667749647473103E-6</v>
      </c>
      <c r="J3" s="7">
        <f>$B3 * IFERROR(VLOOKUP("industry|SO2|Infant mortality", US_national_yearly!$D:$AM, 18, FALSE) / VLOOKUP("industry|SO2|Infant mortality", US_national_yearly!$D:$AM, 10, FALSE), 1)</f>
        <v>8.4126680918303933E-6</v>
      </c>
      <c r="K3" s="7">
        <f>$B3 * IFERROR(VLOOKUP("industry|SO2|Infant mortality", US_national_yearly!$D:$AM, 19, FALSE) / VLOOKUP("industry|SO2|Infant mortality", US_national_yearly!$D:$AM, 10, FALSE), 1)</f>
        <v>8.3585612189134781E-6</v>
      </c>
      <c r="L3" s="7">
        <f>$B3 * IFERROR(VLOOKUP("industry|SO2|Infant mortality", US_national_yearly!$D:$AM, 20, FALSE) / VLOOKUP("industry|SO2|Infant mortality", US_national_yearly!$D:$AM, 10, FALSE), 1)</f>
        <v>8.3044543459965611E-6</v>
      </c>
      <c r="M3" s="7">
        <f>$B3 * IFERROR(VLOOKUP("industry|SO2|Infant mortality", US_national_yearly!$D:$AM, 21, FALSE) / VLOOKUP("industry|SO2|Infant mortality", US_national_yearly!$D:$AM, 10, FALSE), 1)</f>
        <v>8.2503474730796458E-6</v>
      </c>
      <c r="N3" s="7">
        <f>$B3 * IFERROR(VLOOKUP("industry|SO2|Infant mortality", US_national_yearly!$D:$AM, 22, FALSE) / VLOOKUP("industry|SO2|Infant mortality", US_national_yearly!$D:$AM, 10, FALSE), 1)</f>
        <v>8.2160542828336455E-6</v>
      </c>
      <c r="O3" s="7">
        <f>$B3 * IFERROR(VLOOKUP("industry|SO2|Infant mortality", US_national_yearly!$D:$AM, 23, FALSE) / VLOOKUP("industry|SO2|Infant mortality", US_national_yearly!$D:$AM, 10, FALSE), 1)</f>
        <v>8.181761092587647E-6</v>
      </c>
      <c r="P3" s="7">
        <f>$B3 * IFERROR(VLOOKUP("industry|SO2|Infant mortality", US_national_yearly!$D:$AM, 24, FALSE) / VLOOKUP("industry|SO2|Infant mortality", US_national_yearly!$D:$AM, 10, FALSE), 1)</f>
        <v>8.1474679023416484E-6</v>
      </c>
      <c r="Q3" s="7">
        <f>$B3 * IFERROR(VLOOKUP("industry|SO2|Infant mortality", US_national_yearly!$D:$AM, 25, FALSE) / VLOOKUP("industry|SO2|Infant mortality", US_national_yearly!$D:$AM, 10, FALSE), 1)</f>
        <v>8.1131747120956481E-6</v>
      </c>
      <c r="R3" s="7">
        <f>$B3 * IFERROR(VLOOKUP("industry|SO2|Infant mortality", US_national_yearly!$D:$AM, 26, FALSE) / VLOOKUP("industry|SO2|Infant mortality", US_national_yearly!$D:$AM, 10, FALSE), 1)</f>
        <v>8.0788815218496495E-6</v>
      </c>
      <c r="S3" s="7">
        <f>$B3 * IFERROR(VLOOKUP("industry|SO2|Infant mortality", US_national_yearly!$D:$AM, 27, FALSE) / VLOOKUP("industry|SO2|Infant mortality", US_national_yearly!$D:$AM, 10, FALSE), 1)</f>
        <v>8.0362040377943851E-6</v>
      </c>
      <c r="T3" s="7">
        <f>$B3 * IFERROR(VLOOKUP("industry|SO2|Infant mortality", US_national_yearly!$D:$AM, 28, FALSE) / VLOOKUP("industry|SO2|Infant mortality", US_national_yearly!$D:$AM, 10, FALSE), 1)</f>
        <v>7.9935265537391225E-6</v>
      </c>
      <c r="U3" s="7">
        <f>$B3 * IFERROR(VLOOKUP("industry|SO2|Infant mortality", US_national_yearly!$D:$AM, 29, FALSE) / VLOOKUP("industry|SO2|Infant mortality", US_national_yearly!$D:$AM, 10, FALSE), 1)</f>
        <v>7.9508490696838582E-6</v>
      </c>
      <c r="V3" s="7">
        <f>$B3 * IFERROR(VLOOKUP("industry|SO2|Infant mortality", US_national_yearly!$D:$AM, 30, FALSE) / VLOOKUP("industry|SO2|Infant mortality", US_national_yearly!$D:$AM, 10, FALSE), 1)</f>
        <v>7.9081715856285955E-6</v>
      </c>
      <c r="W3" s="7">
        <f>$B3 * IFERROR(VLOOKUP("industry|SO2|Infant mortality", US_national_yearly!$D:$AM, 31, FALSE) / VLOOKUP("industry|SO2|Infant mortality", US_national_yearly!$D:$AM, 10, FALSE), 1)</f>
        <v>7.8654941015733312E-6</v>
      </c>
      <c r="X3" s="7">
        <f>$B3 * IFERROR(VLOOKUP("industry|SO2|Infant mortality", US_national_yearly!$D:$AM, 32, FALSE) / VLOOKUP("industry|SO2|Infant mortality", US_national_yearly!$D:$AM, 10, FALSE), 1)</f>
        <v>7.8191164122666613E-6</v>
      </c>
      <c r="Y3" s="7">
        <f>$B3 * IFERROR(VLOOKUP("industry|SO2|Infant mortality", US_national_yearly!$D:$AM, 33, FALSE) / VLOOKUP("industry|SO2|Infant mortality", US_national_yearly!$D:$AM, 10, FALSE), 1)</f>
        <v>7.7727387229599897E-6</v>
      </c>
      <c r="Z3" s="7">
        <f>$B3 * IFERROR(VLOOKUP("industry|SO2|Infant mortality", US_national_yearly!$D:$AM, 34, FALSE) / VLOOKUP("industry|SO2|Infant mortality", US_national_yearly!$D:$AM, 10, FALSE), 1)</f>
        <v>7.7263610336533197E-6</v>
      </c>
      <c r="AA3" s="7">
        <f>$B3 * IFERROR(VLOOKUP("industry|SO2|Infant mortality", US_national_yearly!$D:$AM, 35, FALSE) / VLOOKUP("industry|SO2|Infant mortality", US_national_yearly!$D:$AM, 10, FALSE), 1)</f>
        <v>7.6799833443466498E-6</v>
      </c>
      <c r="AB3" s="7">
        <f>$B3 * IFERROR(VLOOKUP("industry|SO2|Infant mortality", US_national_yearly!$D:$AM, 36, FALSE) / VLOOKUP("industry|SO2|Infant mortality", US_national_yearly!$D:$AM, 10, FALSE), 1)</f>
        <v>7.6336056550399782E-6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4.0616213638540288E-2</v>
      </c>
      <c r="C6" s="7">
        <f>$B6 * IFERROR(VLOOKUP("industry|SO2|Asthma symptoms cough", US_national_yearly!$D:$AM, 11, FALSE) / VLOOKUP("industry|SO2|Asthma symptoms cough", US_national_yearly!$D:$AM, 10, FALSE), 1)</f>
        <v>4.0616213638540288E-2</v>
      </c>
      <c r="D6" s="7">
        <f>$B6 * IFERROR(VLOOKUP("industry|SO2|Asthma symptoms cough", US_national_yearly!$D:$AM, 12, FALSE) / VLOOKUP("industry|SO2|Asthma symptoms cough", US_national_yearly!$D:$AM, 10, FALSE), 1)</f>
        <v>4.0616213638540288E-2</v>
      </c>
      <c r="E6" s="7">
        <f>$B6 * IFERROR(VLOOKUP("industry|SO2|Asthma symptoms cough", US_national_yearly!$D:$AM, 13, FALSE) / VLOOKUP("industry|SO2|Asthma symptoms cough", US_national_yearly!$D:$AM, 10, FALSE), 1)</f>
        <v>4.0616213638540288E-2</v>
      </c>
      <c r="F6" s="7">
        <f>$B6 * IFERROR(VLOOKUP("industry|SO2|Asthma symptoms cough", US_national_yearly!$D:$AM, 14, FALSE) / VLOOKUP("industry|SO2|Asthma symptoms cough", US_national_yearly!$D:$AM, 10, FALSE), 1)</f>
        <v>4.0616213638540288E-2</v>
      </c>
      <c r="G6" s="7">
        <f>$B6 * IFERROR(VLOOKUP("industry|SO2|Asthma symptoms cough", US_national_yearly!$D:$AM, 15, FALSE) / VLOOKUP("industry|SO2|Asthma symptoms cough", US_national_yearly!$D:$AM, 10, FALSE), 1)</f>
        <v>4.0616213638540288E-2</v>
      </c>
      <c r="H6" s="7">
        <f>$B6 * IFERROR(VLOOKUP("industry|SO2|Asthma symptoms cough", US_national_yearly!$D:$AM, 16, FALSE) / VLOOKUP("industry|SO2|Asthma symptoms cough", US_national_yearly!$D:$AM, 10, FALSE), 1)</f>
        <v>4.0616213638540288E-2</v>
      </c>
      <c r="I6" s="7">
        <f>$B6 * IFERROR(VLOOKUP("industry|SO2|Asthma symptoms cough", US_national_yearly!$D:$AM, 17, FALSE) / VLOOKUP("industry|SO2|Asthma symptoms cough", US_national_yearly!$D:$AM, 10, FALSE), 1)</f>
        <v>4.0616213638540288E-2</v>
      </c>
      <c r="J6" s="7">
        <f>$B6 * IFERROR(VLOOKUP("industry|SO2|Asthma symptoms cough", US_national_yearly!$D:$AM, 18, FALSE) / VLOOKUP("industry|SO2|Asthma symptoms cough", US_national_yearly!$D:$AM, 10, FALSE), 1)</f>
        <v>4.0616213638540288E-2</v>
      </c>
      <c r="K6" s="7">
        <f>$B6 * IFERROR(VLOOKUP("industry|SO2|Asthma symptoms cough", US_national_yearly!$D:$AM, 19, FALSE) / VLOOKUP("industry|SO2|Asthma symptoms cough", US_national_yearly!$D:$AM, 10, FALSE), 1)</f>
        <v>4.0616213638540288E-2</v>
      </c>
      <c r="L6" s="7">
        <f>$B6 * IFERROR(VLOOKUP("industry|SO2|Asthma symptoms cough", US_national_yearly!$D:$AM, 20, FALSE) / VLOOKUP("industry|SO2|Asthma symptoms cough", US_national_yearly!$D:$AM, 10, FALSE), 1)</f>
        <v>4.0616213638540288E-2</v>
      </c>
      <c r="M6" s="7">
        <f>$B6 * IFERROR(VLOOKUP("industry|SO2|Asthma symptoms cough", US_national_yearly!$D:$AM, 21, FALSE) / VLOOKUP("industry|SO2|Asthma symptoms cough", US_national_yearly!$D:$AM, 10, FALSE), 1)</f>
        <v>4.0616213638540288E-2</v>
      </c>
      <c r="N6" s="7">
        <f>$B6 * IFERROR(VLOOKUP("industry|SO2|Asthma symptoms cough", US_national_yearly!$D:$AM, 22, FALSE) / VLOOKUP("industry|SO2|Asthma symptoms cough", US_national_yearly!$D:$AM, 10, FALSE), 1)</f>
        <v>4.0616213638540288E-2</v>
      </c>
      <c r="O6" s="7">
        <f>$B6 * IFERROR(VLOOKUP("industry|SO2|Asthma symptoms cough", US_national_yearly!$D:$AM, 23, FALSE) / VLOOKUP("industry|SO2|Asthma symptoms cough", US_national_yearly!$D:$AM, 10, FALSE), 1)</f>
        <v>4.0616213638540288E-2</v>
      </c>
      <c r="P6" s="7">
        <f>$B6 * IFERROR(VLOOKUP("industry|SO2|Asthma symptoms cough", US_national_yearly!$D:$AM, 24, FALSE) / VLOOKUP("industry|SO2|Asthma symptoms cough", US_national_yearly!$D:$AM, 10, FALSE), 1)</f>
        <v>4.0616213638540288E-2</v>
      </c>
      <c r="Q6" s="7">
        <f>$B6 * IFERROR(VLOOKUP("industry|SO2|Asthma symptoms cough", US_national_yearly!$D:$AM, 25, FALSE) / VLOOKUP("industry|SO2|Asthma symptoms cough", US_national_yearly!$D:$AM, 10, FALSE), 1)</f>
        <v>4.0616213638540288E-2</v>
      </c>
      <c r="R6" s="7">
        <f>$B6 * IFERROR(VLOOKUP("industry|SO2|Asthma symptoms cough", US_national_yearly!$D:$AM, 26, FALSE) / VLOOKUP("industry|SO2|Asthma symptoms cough", US_national_yearly!$D:$AM, 10, FALSE), 1)</f>
        <v>4.0616213638540288E-2</v>
      </c>
      <c r="S6" s="7">
        <f>$B6 * IFERROR(VLOOKUP("industry|SO2|Asthma symptoms cough", US_national_yearly!$D:$AM, 27, FALSE) / VLOOKUP("industry|SO2|Asthma symptoms cough", US_national_yearly!$D:$AM, 10, FALSE), 1)</f>
        <v>4.0616213638540288E-2</v>
      </c>
      <c r="T6" s="7">
        <f>$B6 * IFERROR(VLOOKUP("industry|SO2|Asthma symptoms cough", US_national_yearly!$D:$AM, 28, FALSE) / VLOOKUP("industry|SO2|Asthma symptoms cough", US_national_yearly!$D:$AM, 10, FALSE), 1)</f>
        <v>4.0616213638540288E-2</v>
      </c>
      <c r="U6" s="7">
        <f>$B6 * IFERROR(VLOOKUP("industry|SO2|Asthma symptoms cough", US_national_yearly!$D:$AM, 29, FALSE) / VLOOKUP("industry|SO2|Asthma symptoms cough", US_national_yearly!$D:$AM, 10, FALSE), 1)</f>
        <v>4.0616213638540288E-2</v>
      </c>
      <c r="V6" s="7">
        <f>$B6 * IFERROR(VLOOKUP("industry|SO2|Asthma symptoms cough", US_national_yearly!$D:$AM, 30, FALSE) / VLOOKUP("industry|SO2|Asthma symptoms cough", US_national_yearly!$D:$AM, 10, FALSE), 1)</f>
        <v>4.0616213638540288E-2</v>
      </c>
      <c r="W6" s="7">
        <f>$B6 * IFERROR(VLOOKUP("industry|SO2|Asthma symptoms cough", US_national_yearly!$D:$AM, 31, FALSE) / VLOOKUP("industry|SO2|Asthma symptoms cough", US_national_yearly!$D:$AM, 10, FALSE), 1)</f>
        <v>4.0616213638540288E-2</v>
      </c>
      <c r="X6" s="7">
        <f>$B6 * IFERROR(VLOOKUP("industry|SO2|Asthma symptoms cough", US_national_yearly!$D:$AM, 32, FALSE) / VLOOKUP("industry|SO2|Asthma symptoms cough", US_national_yearly!$D:$AM, 10, FALSE), 1)</f>
        <v>4.0616213638540288E-2</v>
      </c>
      <c r="Y6" s="7">
        <f>$B6 * IFERROR(VLOOKUP("industry|SO2|Asthma symptoms cough", US_national_yearly!$D:$AM, 33, FALSE) / VLOOKUP("industry|SO2|Asthma symptoms cough", US_national_yearly!$D:$AM, 10, FALSE), 1)</f>
        <v>4.0616213638540288E-2</v>
      </c>
      <c r="Z6" s="7">
        <f>$B6 * IFERROR(VLOOKUP("industry|SO2|Asthma symptoms cough", US_national_yearly!$D:$AM, 34, FALSE) / VLOOKUP("industry|SO2|Asthma symptoms cough", US_national_yearly!$D:$AM, 10, FALSE), 1)</f>
        <v>4.0616213638540288E-2</v>
      </c>
      <c r="AA6" s="7">
        <f>$B6 * IFERROR(VLOOKUP("industry|SO2|Asthma symptoms cough", US_national_yearly!$D:$AM, 35, FALSE) / VLOOKUP("industry|SO2|Asthma symptoms cough", US_national_yearly!$D:$AM, 10, FALSE), 1)</f>
        <v>4.0616213638540288E-2</v>
      </c>
      <c r="AB6" s="7">
        <f>$B6 * IFERROR(VLOOKUP("industry|SO2|Asthma symptoms cough", US_national_yearly!$D:$AM, 36, FALSE) / VLOOKUP("industry|SO2|Asthma symptoms cough", US_national_yearly!$D:$AM, 10, FALSE), 1)</f>
        <v>4.0616213638540288E-2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5.4695362117323038E-2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5.4695362117323038E-2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5.4695362117323038E-2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5.4695362117323038E-2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5.4695362117323038E-2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5.4695362117323038E-2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5.4695362117323038E-2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5.4695362117323038E-2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5.4695362117323038E-2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5.4695362117323038E-2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5.4695362117323038E-2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5.4695362117323038E-2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5.4695362117323038E-2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5.4695362117323038E-2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5.4695362117323038E-2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5.4695362117323038E-2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5.4695362117323038E-2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5.4695362117323038E-2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5.4695362117323038E-2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5.4695362117323038E-2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5.4695362117323038E-2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5.4695362117323038E-2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5.4695362117323038E-2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5.4695362117323038E-2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5.4695362117323038E-2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5.4695362117323038E-2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5.4695362117323038E-2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8.3566182301616179E-2</v>
      </c>
      <c r="C8" s="7">
        <f>$B8 * IFERROR(VLOOKUP("industry|SO2|Asthma symptoms wheeze", US_national_yearly!$D:$AM, 11, FALSE) / VLOOKUP("industry|SO2|Asthma symptoms wheeze", US_national_yearly!$D:$AM, 10, FALSE), 1)</f>
        <v>8.3566182301616179E-2</v>
      </c>
      <c r="D8" s="7">
        <f>$B8 * IFERROR(VLOOKUP("industry|SO2|Asthma symptoms wheeze", US_national_yearly!$D:$AM, 12, FALSE) / VLOOKUP("industry|SO2|Asthma symptoms wheeze", US_national_yearly!$D:$AM, 10, FALSE), 1)</f>
        <v>8.3566182301616179E-2</v>
      </c>
      <c r="E8" s="7">
        <f>$B8 * IFERROR(VLOOKUP("industry|SO2|Asthma symptoms wheeze", US_national_yearly!$D:$AM, 13, FALSE) / VLOOKUP("industry|SO2|Asthma symptoms wheeze", US_national_yearly!$D:$AM, 10, FALSE), 1)</f>
        <v>8.3566182301616179E-2</v>
      </c>
      <c r="F8" s="7">
        <f>$B8 * IFERROR(VLOOKUP("industry|SO2|Asthma symptoms wheeze", US_national_yearly!$D:$AM, 14, FALSE) / VLOOKUP("industry|SO2|Asthma symptoms wheeze", US_national_yearly!$D:$AM, 10, FALSE), 1)</f>
        <v>8.3566182301616179E-2</v>
      </c>
      <c r="G8" s="7">
        <f>$B8 * IFERROR(VLOOKUP("industry|SO2|Asthma symptoms wheeze", US_national_yearly!$D:$AM, 15, FALSE) / VLOOKUP("industry|SO2|Asthma symptoms wheeze", US_national_yearly!$D:$AM, 10, FALSE), 1)</f>
        <v>8.3566182301616179E-2</v>
      </c>
      <c r="H8" s="7">
        <f>$B8 * IFERROR(VLOOKUP("industry|SO2|Asthma symptoms wheeze", US_national_yearly!$D:$AM, 16, FALSE) / VLOOKUP("industry|SO2|Asthma symptoms wheeze", US_national_yearly!$D:$AM, 10, FALSE), 1)</f>
        <v>8.3566182301616179E-2</v>
      </c>
      <c r="I8" s="7">
        <f>$B8 * IFERROR(VLOOKUP("industry|SO2|Asthma symptoms wheeze", US_national_yearly!$D:$AM, 17, FALSE) / VLOOKUP("industry|SO2|Asthma symptoms wheeze", US_national_yearly!$D:$AM, 10, FALSE), 1)</f>
        <v>8.3566182301616179E-2</v>
      </c>
      <c r="J8" s="7">
        <f>$B8 * IFERROR(VLOOKUP("industry|SO2|Asthma symptoms wheeze", US_national_yearly!$D:$AM, 18, FALSE) / VLOOKUP("industry|SO2|Asthma symptoms wheeze", US_national_yearly!$D:$AM, 10, FALSE), 1)</f>
        <v>8.3566182301616179E-2</v>
      </c>
      <c r="K8" s="7">
        <f>$B8 * IFERROR(VLOOKUP("industry|SO2|Asthma symptoms wheeze", US_national_yearly!$D:$AM, 19, FALSE) / VLOOKUP("industry|SO2|Asthma symptoms wheeze", US_national_yearly!$D:$AM, 10, FALSE), 1)</f>
        <v>8.3566182301616179E-2</v>
      </c>
      <c r="L8" s="7">
        <f>$B8 * IFERROR(VLOOKUP("industry|SO2|Asthma symptoms wheeze", US_national_yearly!$D:$AM, 20, FALSE) / VLOOKUP("industry|SO2|Asthma symptoms wheeze", US_national_yearly!$D:$AM, 10, FALSE), 1)</f>
        <v>8.3566182301616179E-2</v>
      </c>
      <c r="M8" s="7">
        <f>$B8 * IFERROR(VLOOKUP("industry|SO2|Asthma symptoms wheeze", US_national_yearly!$D:$AM, 21, FALSE) / VLOOKUP("industry|SO2|Asthma symptoms wheeze", US_national_yearly!$D:$AM, 10, FALSE), 1)</f>
        <v>8.3566182301616179E-2</v>
      </c>
      <c r="N8" s="7">
        <f>$B8 * IFERROR(VLOOKUP("industry|SO2|Asthma symptoms wheeze", US_national_yearly!$D:$AM, 22, FALSE) / VLOOKUP("industry|SO2|Asthma symptoms wheeze", US_national_yearly!$D:$AM, 10, FALSE), 1)</f>
        <v>8.3566182301616179E-2</v>
      </c>
      <c r="O8" s="7">
        <f>$B8 * IFERROR(VLOOKUP("industry|SO2|Asthma symptoms wheeze", US_national_yearly!$D:$AM, 23, FALSE) / VLOOKUP("industry|SO2|Asthma symptoms wheeze", US_national_yearly!$D:$AM, 10, FALSE), 1)</f>
        <v>8.3566182301616179E-2</v>
      </c>
      <c r="P8" s="7">
        <f>$B8 * IFERROR(VLOOKUP("industry|SO2|Asthma symptoms wheeze", US_national_yearly!$D:$AM, 24, FALSE) / VLOOKUP("industry|SO2|Asthma symptoms wheeze", US_national_yearly!$D:$AM, 10, FALSE), 1)</f>
        <v>8.3566182301616179E-2</v>
      </c>
      <c r="Q8" s="7">
        <f>$B8 * IFERROR(VLOOKUP("industry|SO2|Asthma symptoms wheeze", US_national_yearly!$D:$AM, 25, FALSE) / VLOOKUP("industry|SO2|Asthma symptoms wheeze", US_national_yearly!$D:$AM, 10, FALSE), 1)</f>
        <v>8.3566182301616179E-2</v>
      </c>
      <c r="R8" s="7">
        <f>$B8 * IFERROR(VLOOKUP("industry|SO2|Asthma symptoms wheeze", US_national_yearly!$D:$AM, 26, FALSE) / VLOOKUP("industry|SO2|Asthma symptoms wheeze", US_national_yearly!$D:$AM, 10, FALSE), 1)</f>
        <v>8.3566182301616179E-2</v>
      </c>
      <c r="S8" s="7">
        <f>$B8 * IFERROR(VLOOKUP("industry|SO2|Asthma symptoms wheeze", US_national_yearly!$D:$AM, 27, FALSE) / VLOOKUP("industry|SO2|Asthma symptoms wheeze", US_national_yearly!$D:$AM, 10, FALSE), 1)</f>
        <v>8.3566182301616179E-2</v>
      </c>
      <c r="T8" s="7">
        <f>$B8 * IFERROR(VLOOKUP("industry|SO2|Asthma symptoms wheeze", US_national_yearly!$D:$AM, 28, FALSE) / VLOOKUP("industry|SO2|Asthma symptoms wheeze", US_national_yearly!$D:$AM, 10, FALSE), 1)</f>
        <v>8.3566182301616179E-2</v>
      </c>
      <c r="U8" s="7">
        <f>$B8 * IFERROR(VLOOKUP("industry|SO2|Asthma symptoms wheeze", US_national_yearly!$D:$AM, 29, FALSE) / VLOOKUP("industry|SO2|Asthma symptoms wheeze", US_national_yearly!$D:$AM, 10, FALSE), 1)</f>
        <v>8.3566182301616179E-2</v>
      </c>
      <c r="V8" s="7">
        <f>$B8 * IFERROR(VLOOKUP("industry|SO2|Asthma symptoms wheeze", US_national_yearly!$D:$AM, 30, FALSE) / VLOOKUP("industry|SO2|Asthma symptoms wheeze", US_national_yearly!$D:$AM, 10, FALSE), 1)</f>
        <v>8.3566182301616179E-2</v>
      </c>
      <c r="W8" s="7">
        <f>$B8 * IFERROR(VLOOKUP("industry|SO2|Asthma symptoms wheeze", US_national_yearly!$D:$AM, 31, FALSE) / VLOOKUP("industry|SO2|Asthma symptoms wheeze", US_national_yearly!$D:$AM, 10, FALSE), 1)</f>
        <v>8.3566182301616179E-2</v>
      </c>
      <c r="X8" s="7">
        <f>$B8 * IFERROR(VLOOKUP("industry|SO2|Asthma symptoms wheeze", US_national_yearly!$D:$AM, 32, FALSE) / VLOOKUP("industry|SO2|Asthma symptoms wheeze", US_national_yearly!$D:$AM, 10, FALSE), 1)</f>
        <v>8.3566182301616179E-2</v>
      </c>
      <c r="Y8" s="7">
        <f>$B8 * IFERROR(VLOOKUP("industry|SO2|Asthma symptoms wheeze", US_national_yearly!$D:$AM, 33, FALSE) / VLOOKUP("industry|SO2|Asthma symptoms wheeze", US_national_yearly!$D:$AM, 10, FALSE), 1)</f>
        <v>8.3566182301616179E-2</v>
      </c>
      <c r="Z8" s="7">
        <f>$B8 * IFERROR(VLOOKUP("industry|SO2|Asthma symptoms wheeze", US_national_yearly!$D:$AM, 34, FALSE) / VLOOKUP("industry|SO2|Asthma symptoms wheeze", US_national_yearly!$D:$AM, 10, FALSE), 1)</f>
        <v>8.3566182301616179E-2</v>
      </c>
      <c r="AA8" s="7">
        <f>$B8 * IFERROR(VLOOKUP("industry|SO2|Asthma symptoms wheeze", US_national_yearly!$D:$AM, 35, FALSE) / VLOOKUP("industry|SO2|Asthma symptoms wheeze", US_national_yearly!$D:$AM, 10, FALSE), 1)</f>
        <v>8.3566182301616179E-2</v>
      </c>
      <c r="AB8" s="7">
        <f>$B8 * IFERROR(VLOOKUP("industry|SO2|Asthma symptoms wheeze", US_national_yearly!$D:$AM, 36, FALSE) / VLOOKUP("industry|SO2|Asthma symptoms wheeze", US_national_yearly!$D:$AM, 10, FALSE), 1)</f>
        <v>8.3566182301616179E-2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1.3926715966078647E-3</v>
      </c>
      <c r="C12" s="7">
        <f>$B12 * IFERROR(VLOOKUP("industry|SO2|Respiratory hospital admissions", US_national_yearly!$D:$AM, 11, FALSE) / VLOOKUP("industry|SO2|Respiratory hospital admissions", US_national_yearly!$D:$AM, 10, FALSE), 1)</f>
        <v>1.4008299934820708E-3</v>
      </c>
      <c r="D12" s="7">
        <f>$B12 * IFERROR(VLOOKUP("industry|SO2|Respiratory hospital admissions", US_national_yearly!$D:$AM, 12, FALSE) / VLOOKUP("industry|SO2|Respiratory hospital admissions", US_national_yearly!$D:$AM, 10, FALSE), 1)</f>
        <v>1.4089883903562772E-3</v>
      </c>
      <c r="E12" s="7">
        <f>$B12 * IFERROR(VLOOKUP("industry|SO2|Respiratory hospital admissions", US_national_yearly!$D:$AM, 13, FALSE) / VLOOKUP("industry|SO2|Respiratory hospital admissions", US_national_yearly!$D:$AM, 10, FALSE), 1)</f>
        <v>1.4171467872304833E-3</v>
      </c>
      <c r="F12" s="7">
        <f>$B12 * IFERROR(VLOOKUP("industry|SO2|Respiratory hospital admissions", US_national_yearly!$D:$AM, 14, FALSE) / VLOOKUP("industry|SO2|Respiratory hospital admissions", US_national_yearly!$D:$AM, 10, FALSE), 1)</f>
        <v>1.4253051841046898E-3</v>
      </c>
      <c r="G12" s="7">
        <f>$B12 * IFERROR(VLOOKUP("industry|SO2|Respiratory hospital admissions", US_national_yearly!$D:$AM, 15, FALSE) / VLOOKUP("industry|SO2|Respiratory hospital admissions", US_national_yearly!$D:$AM, 10, FALSE), 1)</f>
        <v>1.4341994148756594E-3</v>
      </c>
      <c r="H12" s="7">
        <f>$B12 * IFERROR(VLOOKUP("industry|SO2|Respiratory hospital admissions", US_national_yearly!$D:$AM, 16, FALSE) / VLOOKUP("industry|SO2|Respiratory hospital admissions", US_national_yearly!$D:$AM, 10, FALSE), 1)</f>
        <v>1.4430936456466289E-3</v>
      </c>
      <c r="I12" s="7">
        <f>$B12 * IFERROR(VLOOKUP("industry|SO2|Respiratory hospital admissions", US_national_yearly!$D:$AM, 17, FALSE) / VLOOKUP("industry|SO2|Respiratory hospital admissions", US_national_yearly!$D:$AM, 10, FALSE), 1)</f>
        <v>1.4518292386607162E-3</v>
      </c>
      <c r="J12" s="7">
        <f>$B12 * IFERROR(VLOOKUP("industry|SO2|Respiratory hospital admissions", US_national_yearly!$D:$AM, 18, FALSE) / VLOOKUP("industry|SO2|Respiratory hospital admissions", US_national_yearly!$D:$AM, 10, FALSE), 1)</f>
        <v>1.4605648316748036E-3</v>
      </c>
      <c r="K12" s="7">
        <f>$B12 * IFERROR(VLOOKUP("industry|SO2|Respiratory hospital admissions", US_national_yearly!$D:$AM, 19, FALSE) / VLOOKUP("industry|SO2|Respiratory hospital admissions", US_national_yearly!$D:$AM, 10, FALSE), 1)</f>
        <v>1.4693004246888904E-3</v>
      </c>
      <c r="L12" s="7">
        <f>$B12 * IFERROR(VLOOKUP("industry|SO2|Respiratory hospital admissions", US_national_yearly!$D:$AM, 20, FALSE) / VLOOKUP("industry|SO2|Respiratory hospital admissions", US_national_yearly!$D:$AM, 10, FALSE), 1)</f>
        <v>1.4780360177029776E-3</v>
      </c>
      <c r="M12" s="7">
        <f>$B12 * IFERROR(VLOOKUP("industry|SO2|Respiratory hospital admissions", US_national_yearly!$D:$AM, 21, FALSE) / VLOOKUP("industry|SO2|Respiratory hospital admissions", US_national_yearly!$D:$AM, 10, FALSE), 1)</f>
        <v>1.4867716107170648E-3</v>
      </c>
      <c r="N12" s="7">
        <f>$B12 * IFERROR(VLOOKUP("industry|SO2|Respiratory hospital admissions", US_national_yearly!$D:$AM, 22, FALSE) / VLOOKUP("industry|SO2|Respiratory hospital admissions", US_national_yearly!$D:$AM, 10, FALSE), 1)</f>
        <v>1.4930928087766697E-3</v>
      </c>
      <c r="O12" s="7">
        <f>$B12 * IFERROR(VLOOKUP("industry|SO2|Respiratory hospital admissions", US_national_yearly!$D:$AM, 23, FALSE) / VLOOKUP("industry|SO2|Respiratory hospital admissions", US_national_yearly!$D:$AM, 10, FALSE), 1)</f>
        <v>1.4994140068362743E-3</v>
      </c>
      <c r="P12" s="7">
        <f>$B12 * IFERROR(VLOOKUP("industry|SO2|Respiratory hospital admissions", US_national_yearly!$D:$AM, 24, FALSE) / VLOOKUP("industry|SO2|Respiratory hospital admissions", US_national_yearly!$D:$AM, 10, FALSE), 1)</f>
        <v>1.5057352048958787E-3</v>
      </c>
      <c r="Q12" s="7">
        <f>$B12 * IFERROR(VLOOKUP("industry|SO2|Respiratory hospital admissions", US_national_yearly!$D:$AM, 25, FALSE) / VLOOKUP("industry|SO2|Respiratory hospital admissions", US_national_yearly!$D:$AM, 10, FALSE), 1)</f>
        <v>1.5120564029554833E-3</v>
      </c>
      <c r="R12" s="7">
        <f>$B12 * IFERROR(VLOOKUP("industry|SO2|Respiratory hospital admissions", US_national_yearly!$D:$AM, 26, FALSE) / VLOOKUP("industry|SO2|Respiratory hospital admissions", US_national_yearly!$D:$AM, 10, FALSE), 1)</f>
        <v>1.5183776010150877E-3</v>
      </c>
      <c r="S12" s="7">
        <f>$B12 * IFERROR(VLOOKUP("industry|SO2|Respiratory hospital admissions", US_national_yearly!$D:$AM, 27, FALSE) / VLOOKUP("industry|SO2|Respiratory hospital admissions", US_national_yearly!$D:$AM, 10, FALSE), 1)</f>
        <v>1.5243849335280517E-3</v>
      </c>
      <c r="T12" s="7">
        <f>$B12 * IFERROR(VLOOKUP("industry|SO2|Respiratory hospital admissions", US_national_yearly!$D:$AM, 28, FALSE) / VLOOKUP("industry|SO2|Respiratory hospital admissions", US_national_yearly!$D:$AM, 10, FALSE), 1)</f>
        <v>1.5303922660410156E-3</v>
      </c>
      <c r="U12" s="7">
        <f>$B12 * IFERROR(VLOOKUP("industry|SO2|Respiratory hospital admissions", US_national_yearly!$D:$AM, 29, FALSE) / VLOOKUP("industry|SO2|Respiratory hospital admissions", US_national_yearly!$D:$AM, 10, FALSE), 1)</f>
        <v>1.5363995985539793E-3</v>
      </c>
      <c r="V12" s="7">
        <f>$B12 * IFERROR(VLOOKUP("industry|SO2|Respiratory hospital admissions", US_national_yearly!$D:$AM, 30, FALSE) / VLOOKUP("industry|SO2|Respiratory hospital admissions", US_national_yearly!$D:$AM, 10, FALSE), 1)</f>
        <v>1.5424069310669432E-3</v>
      </c>
      <c r="W12" s="7">
        <f>$B12 * IFERROR(VLOOKUP("industry|SO2|Respiratory hospital admissions", US_national_yearly!$D:$AM, 31, FALSE) / VLOOKUP("industry|SO2|Respiratory hospital admissions", US_national_yearly!$D:$AM, 10, FALSE), 1)</f>
        <v>1.5484142635799072E-3</v>
      </c>
      <c r="X12" s="7">
        <f>$B12 * IFERROR(VLOOKUP("industry|SO2|Respiratory hospital admissions", US_national_yearly!$D:$AM, 32, FALSE) / VLOOKUP("industry|SO2|Respiratory hospital admissions", US_national_yearly!$D:$AM, 10, FALSE), 1)</f>
        <v>1.5541189167756898E-3</v>
      </c>
      <c r="Y12" s="7">
        <f>$B12 * IFERROR(VLOOKUP("industry|SO2|Respiratory hospital admissions", US_national_yearly!$D:$AM, 33, FALSE) / VLOOKUP("industry|SO2|Respiratory hospital admissions", US_national_yearly!$D:$AM, 10, FALSE), 1)</f>
        <v>1.5598235699714729E-3</v>
      </c>
      <c r="Z12" s="7">
        <f>$B12 * IFERROR(VLOOKUP("industry|SO2|Respiratory hospital admissions", US_national_yearly!$D:$AM, 34, FALSE) / VLOOKUP("industry|SO2|Respiratory hospital admissions", US_national_yearly!$D:$AM, 10, FALSE), 1)</f>
        <v>1.5655282231672556E-3</v>
      </c>
      <c r="AA12" s="7">
        <f>$B12 * IFERROR(VLOOKUP("industry|SO2|Respiratory hospital admissions", US_national_yearly!$D:$AM, 35, FALSE) / VLOOKUP("industry|SO2|Respiratory hospital admissions", US_national_yearly!$D:$AM, 10, FALSE), 1)</f>
        <v>1.5712328763630384E-3</v>
      </c>
      <c r="AB12" s="7">
        <f>$B12 * IFERROR(VLOOKUP("industry|SO2|Respiratory hospital admissions", US_national_yearly!$D:$AM, 36, FALSE) / VLOOKUP("industry|SO2|Respiratory hospital admissions", US_national_yearly!$D:$AM, 10, FALSE), 1)</f>
        <v>1.5769375295588213E-3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7.548889114948349E-3</v>
      </c>
      <c r="C13" s="7">
        <f>$B13 * IFERROR(VLOOKUP("industry|SO2|Non-fatal heart attacks", US_national_yearly!$D:$AM, 11, FALSE) / VLOOKUP("industry|SO2|Non-fatal heart attacks", US_national_yearly!$D:$AM, 10, FALSE), 1)</f>
        <v>7.7704961915156306E-3</v>
      </c>
      <c r="D13" s="7">
        <f>$B13 * IFERROR(VLOOKUP("industry|SO2|Non-fatal heart attacks", US_national_yearly!$D:$AM, 12, FALSE) / VLOOKUP("industry|SO2|Non-fatal heart attacks", US_national_yearly!$D:$AM, 10, FALSE), 1)</f>
        <v>7.9921032680829122E-3</v>
      </c>
      <c r="E13" s="7">
        <f>$B13 * IFERROR(VLOOKUP("industry|SO2|Non-fatal heart attacks", US_national_yearly!$D:$AM, 13, FALSE) / VLOOKUP("industry|SO2|Non-fatal heart attacks", US_national_yearly!$D:$AM, 10, FALSE), 1)</f>
        <v>8.2137103446501929E-3</v>
      </c>
      <c r="F13" s="7">
        <f>$B13 * IFERROR(VLOOKUP("industry|SO2|Non-fatal heart attacks", US_national_yearly!$D:$AM, 14, FALSE) / VLOOKUP("industry|SO2|Non-fatal heart attacks", US_national_yearly!$D:$AM, 10, FALSE), 1)</f>
        <v>8.435317421217477E-3</v>
      </c>
      <c r="G13" s="7">
        <f>$B13 * IFERROR(VLOOKUP("industry|SO2|Non-fatal heart attacks", US_national_yearly!$D:$AM, 15, FALSE) / VLOOKUP("industry|SO2|Non-fatal heart attacks", US_national_yearly!$D:$AM, 10, FALSE), 1)</f>
        <v>8.644452420911131E-3</v>
      </c>
      <c r="H13" s="7">
        <f>$B13 * IFERROR(VLOOKUP("industry|SO2|Non-fatal heart attacks", US_national_yearly!$D:$AM, 16, FALSE) / VLOOKUP("industry|SO2|Non-fatal heart attacks", US_national_yearly!$D:$AM, 10, FALSE), 1)</f>
        <v>8.8535874206047884E-3</v>
      </c>
      <c r="I13" s="7">
        <f>$B13 * IFERROR(VLOOKUP("industry|SO2|Non-fatal heart attacks", US_national_yearly!$D:$AM, 17, FALSE) / VLOOKUP("industry|SO2|Non-fatal heart attacks", US_national_yearly!$D:$AM, 10, FALSE), 1)</f>
        <v>9.0221864303813605E-3</v>
      </c>
      <c r="J13" s="7">
        <f>$B13 * IFERROR(VLOOKUP("industry|SO2|Non-fatal heart attacks", US_national_yearly!$D:$AM, 18, FALSE) / VLOOKUP("industry|SO2|Non-fatal heart attacks", US_national_yearly!$D:$AM, 10, FALSE), 1)</f>
        <v>9.1907854401579343E-3</v>
      </c>
      <c r="K13" s="7">
        <f>$B13 * IFERROR(VLOOKUP("industry|SO2|Non-fatal heart attacks", US_national_yearly!$D:$AM, 19, FALSE) / VLOOKUP("industry|SO2|Non-fatal heart attacks", US_national_yearly!$D:$AM, 10, FALSE), 1)</f>
        <v>9.3593844499345082E-3</v>
      </c>
      <c r="L13" s="7">
        <f>$B13 * IFERROR(VLOOKUP("industry|SO2|Non-fatal heart attacks", US_national_yearly!$D:$AM, 20, FALSE) / VLOOKUP("industry|SO2|Non-fatal heart attacks", US_national_yearly!$D:$AM, 10, FALSE), 1)</f>
        <v>9.5279834597110803E-3</v>
      </c>
      <c r="M13" s="7">
        <f>$B13 * IFERROR(VLOOKUP("industry|SO2|Non-fatal heart attacks", US_national_yearly!$D:$AM, 21, FALSE) / VLOOKUP("industry|SO2|Non-fatal heart attacks", US_national_yearly!$D:$AM, 10, FALSE), 1)</f>
        <v>9.6965824694876541E-3</v>
      </c>
      <c r="N13" s="7">
        <f>$B13 * IFERROR(VLOOKUP("industry|SO2|Non-fatal heart attacks", US_national_yearly!$D:$AM, 22, FALSE) / VLOOKUP("industry|SO2|Non-fatal heart attacks", US_national_yearly!$D:$AM, 10, FALSE), 1)</f>
        <v>9.8061133685057901E-3</v>
      </c>
      <c r="O13" s="7">
        <f>$B13 * IFERROR(VLOOKUP("industry|SO2|Non-fatal heart attacks", US_national_yearly!$D:$AM, 23, FALSE) / VLOOKUP("industry|SO2|Non-fatal heart attacks", US_national_yearly!$D:$AM, 10, FALSE), 1)</f>
        <v>9.9156442675239296E-3</v>
      </c>
      <c r="P13" s="7">
        <f>$B13 * IFERROR(VLOOKUP("industry|SO2|Non-fatal heart attacks", US_national_yearly!$D:$AM, 24, FALSE) / VLOOKUP("industry|SO2|Non-fatal heart attacks", US_national_yearly!$D:$AM, 10, FALSE), 1)</f>
        <v>1.0025175166542067E-2</v>
      </c>
      <c r="Q13" s="7">
        <f>$B13 * IFERROR(VLOOKUP("industry|SO2|Non-fatal heart attacks", US_national_yearly!$D:$AM, 25, FALSE) / VLOOKUP("industry|SO2|Non-fatal heart attacks", US_national_yearly!$D:$AM, 10, FALSE), 1)</f>
        <v>1.0134706065560203E-2</v>
      </c>
      <c r="R13" s="7">
        <f>$B13 * IFERROR(VLOOKUP("industry|SO2|Non-fatal heart attacks", US_national_yearly!$D:$AM, 26, FALSE) / VLOOKUP("industry|SO2|Non-fatal heart attacks", US_national_yearly!$D:$AM, 10, FALSE), 1)</f>
        <v>1.0244236964578343E-2</v>
      </c>
      <c r="S13" s="7">
        <f>$B13 * IFERROR(VLOOKUP("industry|SO2|Non-fatal heart attacks", US_national_yearly!$D:$AM, 27, FALSE) / VLOOKUP("industry|SO2|Non-fatal heart attacks", US_national_yearly!$D:$AM, 10, FALSE), 1)</f>
        <v>1.0301764203171911E-2</v>
      </c>
      <c r="T13" s="7">
        <f>$B13 * IFERROR(VLOOKUP("industry|SO2|Non-fatal heart attacks", US_national_yearly!$D:$AM, 28, FALSE) / VLOOKUP("industry|SO2|Non-fatal heart attacks", US_national_yearly!$D:$AM, 10, FALSE), 1)</f>
        <v>1.035929144176548E-2</v>
      </c>
      <c r="U13" s="7">
        <f>$B13 * IFERROR(VLOOKUP("industry|SO2|Non-fatal heart attacks", US_national_yearly!$D:$AM, 29, FALSE) / VLOOKUP("industry|SO2|Non-fatal heart attacks", US_national_yearly!$D:$AM, 10, FALSE), 1)</f>
        <v>1.041681868035905E-2</v>
      </c>
      <c r="V13" s="7">
        <f>$B13 * IFERROR(VLOOKUP("industry|SO2|Non-fatal heart attacks", US_national_yearly!$D:$AM, 30, FALSE) / VLOOKUP("industry|SO2|Non-fatal heart attacks", US_national_yearly!$D:$AM, 10, FALSE), 1)</f>
        <v>1.0474345918952618E-2</v>
      </c>
      <c r="W13" s="7">
        <f>$B13 * IFERROR(VLOOKUP("industry|SO2|Non-fatal heart attacks", US_national_yearly!$D:$AM, 31, FALSE) / VLOOKUP("industry|SO2|Non-fatal heart attacks", US_national_yearly!$D:$AM, 10, FALSE), 1)</f>
        <v>1.0531873157546187E-2</v>
      </c>
      <c r="X13" s="7">
        <f>$B13 * IFERROR(VLOOKUP("industry|SO2|Non-fatal heart attacks", US_national_yearly!$D:$AM, 32, FALSE) / VLOOKUP("industry|SO2|Non-fatal heart attacks", US_national_yearly!$D:$AM, 10, FALSE), 1)</f>
        <v>1.0575563435188838E-2</v>
      </c>
      <c r="Y13" s="7">
        <f>$B13 * IFERROR(VLOOKUP("industry|SO2|Non-fatal heart attacks", US_national_yearly!$D:$AM, 33, FALSE) / VLOOKUP("industry|SO2|Non-fatal heart attacks", US_national_yearly!$D:$AM, 10, FALSE), 1)</f>
        <v>1.061925371283149E-2</v>
      </c>
      <c r="Z13" s="7">
        <f>$B13 * IFERROR(VLOOKUP("industry|SO2|Non-fatal heart attacks", US_national_yearly!$D:$AM, 34, FALSE) / VLOOKUP("industry|SO2|Non-fatal heart attacks", US_national_yearly!$D:$AM, 10, FALSE), 1)</f>
        <v>1.0662943990474141E-2</v>
      </c>
      <c r="AA13" s="7">
        <f>$B13 * IFERROR(VLOOKUP("industry|SO2|Non-fatal heart attacks", US_national_yearly!$D:$AM, 35, FALSE) / VLOOKUP("industry|SO2|Non-fatal heart attacks", US_national_yearly!$D:$AM, 10, FALSE), 1)</f>
        <v>1.0706634268116796E-2</v>
      </c>
      <c r="AB13" s="7">
        <f>$B13 * IFERROR(VLOOKUP("industry|SO2|Non-fatal heart attacks", US_national_yearly!$D:$AM, 36, FALSE) / VLOOKUP("industry|SO2|Non-fatal heart attacks", US_national_yearly!$D:$AM, 10, FALSE), 1)</f>
        <v>1.0750324545759447E-2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5.7925375541517994</v>
      </c>
      <c r="C14" s="7">
        <f>$B14 * IFERROR(VLOOKUP("industry|SO2|Minor restricted activity days", US_national_yearly!$D:$AM, 11, FALSE) / VLOOKUP("industry|SO2|Minor restricted activity days", US_national_yearly!$D:$AM, 10, FALSE), 1)</f>
        <v>5.8070269441369859</v>
      </c>
      <c r="D14" s="7">
        <f>$B14 * IFERROR(VLOOKUP("industry|SO2|Minor restricted activity days", US_national_yearly!$D:$AM, 12, FALSE) / VLOOKUP("industry|SO2|Minor restricted activity days", US_national_yearly!$D:$AM, 10, FALSE), 1)</f>
        <v>5.8215163341221716</v>
      </c>
      <c r="E14" s="7">
        <f>$B14 * IFERROR(VLOOKUP("industry|SO2|Minor restricted activity days", US_national_yearly!$D:$AM, 13, FALSE) / VLOOKUP("industry|SO2|Minor restricted activity days", US_national_yearly!$D:$AM, 10, FALSE), 1)</f>
        <v>5.8360057241073582</v>
      </c>
      <c r="F14" s="7">
        <f>$B14 * IFERROR(VLOOKUP("industry|SO2|Minor restricted activity days", US_national_yearly!$D:$AM, 14, FALSE) / VLOOKUP("industry|SO2|Minor restricted activity days", US_national_yearly!$D:$AM, 10, FALSE), 1)</f>
        <v>5.8504951140925447</v>
      </c>
      <c r="G14" s="7">
        <f>$B14 * IFERROR(VLOOKUP("industry|SO2|Minor restricted activity days", US_national_yearly!$D:$AM, 15, FALSE) / VLOOKUP("industry|SO2|Minor restricted activity days", US_national_yearly!$D:$AM, 10, FALSE), 1)</f>
        <v>5.8718103874154108</v>
      </c>
      <c r="H14" s="7">
        <f>$B14 * IFERROR(VLOOKUP("industry|SO2|Minor restricted activity days", US_national_yearly!$D:$AM, 16, FALSE) / VLOOKUP("industry|SO2|Minor restricted activity days", US_national_yearly!$D:$AM, 10, FALSE), 1)</f>
        <v>5.8931256607382752</v>
      </c>
      <c r="I14" s="7">
        <f>$B14 * IFERROR(VLOOKUP("industry|SO2|Minor restricted activity days", US_national_yearly!$D:$AM, 17, FALSE) / VLOOKUP("industry|SO2|Minor restricted activity days", US_national_yearly!$D:$AM, 10, FALSE), 1)</f>
        <v>5.9294746491378225</v>
      </c>
      <c r="J14" s="7">
        <f>$B14 * IFERROR(VLOOKUP("industry|SO2|Minor restricted activity days", US_national_yearly!$D:$AM, 18, FALSE) / VLOOKUP("industry|SO2|Minor restricted activity days", US_national_yearly!$D:$AM, 10, FALSE), 1)</f>
        <v>5.9658236375373699</v>
      </c>
      <c r="K14" s="7">
        <f>$B14 * IFERROR(VLOOKUP("industry|SO2|Minor restricted activity days", US_national_yearly!$D:$AM, 19, FALSE) / VLOOKUP("industry|SO2|Minor restricted activity days", US_national_yearly!$D:$AM, 10, FALSE), 1)</f>
        <v>6.0021726259369172</v>
      </c>
      <c r="L14" s="7">
        <f>$B14 * IFERROR(VLOOKUP("industry|SO2|Minor restricted activity days", US_national_yearly!$D:$AM, 20, FALSE) / VLOOKUP("industry|SO2|Minor restricted activity days", US_national_yearly!$D:$AM, 10, FALSE), 1)</f>
        <v>6.0385216143364646</v>
      </c>
      <c r="M14" s="7">
        <f>$B14 * IFERROR(VLOOKUP("industry|SO2|Minor restricted activity days", US_national_yearly!$D:$AM, 21, FALSE) / VLOOKUP("industry|SO2|Minor restricted activity days", US_national_yearly!$D:$AM, 10, FALSE), 1)</f>
        <v>6.074870602736012</v>
      </c>
      <c r="N14" s="7">
        <f>$B14 * IFERROR(VLOOKUP("industry|SO2|Minor restricted activity days", US_national_yearly!$D:$AM, 22, FALSE) / VLOOKUP("industry|SO2|Minor restricted activity days", US_national_yearly!$D:$AM, 10, FALSE), 1)</f>
        <v>6.1247094374235154</v>
      </c>
      <c r="O14" s="7">
        <f>$B14 * IFERROR(VLOOKUP("industry|SO2|Minor restricted activity days", US_national_yearly!$D:$AM, 23, FALSE) / VLOOKUP("industry|SO2|Minor restricted activity days", US_national_yearly!$D:$AM, 10, FALSE), 1)</f>
        <v>6.1745482721110179</v>
      </c>
      <c r="P14" s="7">
        <f>$B14 * IFERROR(VLOOKUP("industry|SO2|Minor restricted activity days", US_national_yearly!$D:$AM, 24, FALSE) / VLOOKUP("industry|SO2|Minor restricted activity days", US_national_yearly!$D:$AM, 10, FALSE), 1)</f>
        <v>6.2243871067985213</v>
      </c>
      <c r="Q14" s="7">
        <f>$B14 * IFERROR(VLOOKUP("industry|SO2|Minor restricted activity days", US_national_yearly!$D:$AM, 25, FALSE) / VLOOKUP("industry|SO2|Minor restricted activity days", US_national_yearly!$D:$AM, 10, FALSE), 1)</f>
        <v>6.2742259414860255</v>
      </c>
      <c r="R14" s="7">
        <f>$B14 * IFERROR(VLOOKUP("industry|SO2|Minor restricted activity days", US_national_yearly!$D:$AM, 26, FALSE) / VLOOKUP("industry|SO2|Minor restricted activity days", US_national_yearly!$D:$AM, 10, FALSE), 1)</f>
        <v>6.324064776173528</v>
      </c>
      <c r="S14" s="7">
        <f>$B14 * IFERROR(VLOOKUP("industry|SO2|Minor restricted activity days", US_national_yearly!$D:$AM, 27, FALSE) / VLOOKUP("industry|SO2|Minor restricted activity days", US_national_yearly!$D:$AM, 10, FALSE), 1)</f>
        <v>6.3749293320552978</v>
      </c>
      <c r="T14" s="7">
        <f>$B14 * IFERROR(VLOOKUP("industry|SO2|Minor restricted activity days", US_national_yearly!$D:$AM, 28, FALSE) / VLOOKUP("industry|SO2|Minor restricted activity days", US_national_yearly!$D:$AM, 10, FALSE), 1)</f>
        <v>6.4257938879370684</v>
      </c>
      <c r="U14" s="7">
        <f>$B14 * IFERROR(VLOOKUP("industry|SO2|Minor restricted activity days", US_national_yearly!$D:$AM, 29, FALSE) / VLOOKUP("industry|SO2|Minor restricted activity days", US_national_yearly!$D:$AM, 10, FALSE), 1)</f>
        <v>6.4766584438188373</v>
      </c>
      <c r="V14" s="7">
        <f>$B14 * IFERROR(VLOOKUP("industry|SO2|Minor restricted activity days", US_national_yearly!$D:$AM, 30, FALSE) / VLOOKUP("industry|SO2|Minor restricted activity days", US_national_yearly!$D:$AM, 10, FALSE), 1)</f>
        <v>6.5275229997006079</v>
      </c>
      <c r="W14" s="7">
        <f>$B14 * IFERROR(VLOOKUP("industry|SO2|Minor restricted activity days", US_national_yearly!$D:$AM, 31, FALSE) / VLOOKUP("industry|SO2|Minor restricted activity days", US_national_yearly!$D:$AM, 10, FALSE), 1)</f>
        <v>6.5783875555823776</v>
      </c>
      <c r="X14" s="7">
        <f>$B14 * IFERROR(VLOOKUP("industry|SO2|Minor restricted activity days", US_national_yearly!$D:$AM, 32, FALSE) / VLOOKUP("industry|SO2|Minor restricted activity days", US_national_yearly!$D:$AM, 10, FALSE), 1)</f>
        <v>6.6231123581169999</v>
      </c>
      <c r="Y14" s="7">
        <f>$B14 * IFERROR(VLOOKUP("industry|SO2|Minor restricted activity days", US_national_yearly!$D:$AM, 33, FALSE) / VLOOKUP("industry|SO2|Minor restricted activity days", US_national_yearly!$D:$AM, 10, FALSE), 1)</f>
        <v>6.6678371606516214</v>
      </c>
      <c r="Z14" s="7">
        <f>$B14 * IFERROR(VLOOKUP("industry|SO2|Minor restricted activity days", US_national_yearly!$D:$AM, 34, FALSE) / VLOOKUP("industry|SO2|Minor restricted activity days", US_national_yearly!$D:$AM, 10, FALSE), 1)</f>
        <v>6.7125619631862428</v>
      </c>
      <c r="AA14" s="7">
        <f>$B14 * IFERROR(VLOOKUP("industry|SO2|Minor restricted activity days", US_national_yearly!$D:$AM, 35, FALSE) / VLOOKUP("industry|SO2|Minor restricted activity days", US_national_yearly!$D:$AM, 10, FALSE), 1)</f>
        <v>6.7572867657208642</v>
      </c>
      <c r="AB14" s="7">
        <f>$B14 * IFERROR(VLOOKUP("industry|SO2|Minor restricted activity days", US_national_yearly!$D:$AM, 36, FALSE) / VLOOKUP("industry|SO2|Minor restricted activity days", US_national_yearly!$D:$AM, 10, FALSE), 1)</f>
        <v>6.8020115682554874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0.9821410434878004</v>
      </c>
      <c r="C15" s="7">
        <f>$B15 * IFERROR(VLOOKUP("industry|SO2|Work loss days", US_national_yearly!$D:$AM, 11, FALSE) / VLOOKUP("industry|SO2|Work loss days", US_national_yearly!$D:$AM, 10, FALSE), 1)</f>
        <v>0.98529949812443551</v>
      </c>
      <c r="D15" s="7">
        <f>$B15 * IFERROR(VLOOKUP("industry|SO2|Work loss days", US_national_yearly!$D:$AM, 12, FALSE) / VLOOKUP("industry|SO2|Work loss days", US_national_yearly!$D:$AM, 10, FALSE), 1)</f>
        <v>0.98845795276107118</v>
      </c>
      <c r="E15" s="7">
        <f>$B15 * IFERROR(VLOOKUP("industry|SO2|Work loss days", US_national_yearly!$D:$AM, 13, FALSE) / VLOOKUP("industry|SO2|Work loss days", US_national_yearly!$D:$AM, 10, FALSE), 1)</f>
        <v>0.99161640739770629</v>
      </c>
      <c r="F15" s="7">
        <f>$B15 * IFERROR(VLOOKUP("industry|SO2|Work loss days", US_national_yearly!$D:$AM, 14, FALSE) / VLOOKUP("industry|SO2|Work loss days", US_national_yearly!$D:$AM, 10, FALSE), 1)</f>
        <v>0.99477486203434184</v>
      </c>
      <c r="G15" s="7">
        <f>$B15 * IFERROR(VLOOKUP("industry|SO2|Work loss days", US_national_yearly!$D:$AM, 15, FALSE) / VLOOKUP("industry|SO2|Work loss days", US_national_yearly!$D:$AM, 10, FALSE), 1)</f>
        <v>0.99889749887027468</v>
      </c>
      <c r="H15" s="7">
        <f>$B15 * IFERROR(VLOOKUP("industry|SO2|Work loss days", US_national_yearly!$D:$AM, 16, FALSE) / VLOOKUP("industry|SO2|Work loss days", US_national_yearly!$D:$AM, 10, FALSE), 1)</f>
        <v>1.0030201357062076</v>
      </c>
      <c r="I15" s="7">
        <f>$B15 * IFERROR(VLOOKUP("industry|SO2|Work loss days", US_national_yearly!$D:$AM, 17, FALSE) / VLOOKUP("industry|SO2|Work loss days", US_national_yearly!$D:$AM, 10, FALSE), 1)</f>
        <v>1.0090462690595376</v>
      </c>
      <c r="J15" s="7">
        <f>$B15 * IFERROR(VLOOKUP("industry|SO2|Work loss days", US_national_yearly!$D:$AM, 18, FALSE) / VLOOKUP("industry|SO2|Work loss days", US_national_yearly!$D:$AM, 10, FALSE), 1)</f>
        <v>1.0150724024128674</v>
      </c>
      <c r="K15" s="7">
        <f>$B15 * IFERROR(VLOOKUP("industry|SO2|Work loss days", US_national_yearly!$D:$AM, 19, FALSE) / VLOOKUP("industry|SO2|Work loss days", US_national_yearly!$D:$AM, 10, FALSE), 1)</f>
        <v>1.0210985357661972</v>
      </c>
      <c r="L15" s="7">
        <f>$B15 * IFERROR(VLOOKUP("industry|SO2|Work loss days", US_national_yearly!$D:$AM, 20, FALSE) / VLOOKUP("industry|SO2|Work loss days", US_national_yearly!$D:$AM, 10, FALSE), 1)</f>
        <v>1.0271246691195273</v>
      </c>
      <c r="M15" s="7">
        <f>$B15 * IFERROR(VLOOKUP("industry|SO2|Work loss days", US_national_yearly!$D:$AM, 21, FALSE) / VLOOKUP("industry|SO2|Work loss days", US_national_yearly!$D:$AM, 10, FALSE), 1)</f>
        <v>1.0331508024728571</v>
      </c>
      <c r="N15" s="7">
        <f>$B15 * IFERROR(VLOOKUP("industry|SO2|Work loss days", US_national_yearly!$D:$AM, 22, FALSE) / VLOOKUP("industry|SO2|Work loss days", US_national_yearly!$D:$AM, 10, FALSE), 1)</f>
        <v>1.040724764934662</v>
      </c>
      <c r="O15" s="7">
        <f>$B15 * IFERROR(VLOOKUP("industry|SO2|Work loss days", US_national_yearly!$D:$AM, 23, FALSE) / VLOOKUP("industry|SO2|Work loss days", US_national_yearly!$D:$AM, 10, FALSE), 1)</f>
        <v>1.048298727396467</v>
      </c>
      <c r="P15" s="7">
        <f>$B15 * IFERROR(VLOOKUP("industry|SO2|Work loss days", US_national_yearly!$D:$AM, 24, FALSE) / VLOOKUP("industry|SO2|Work loss days", US_national_yearly!$D:$AM, 10, FALSE), 1)</f>
        <v>1.0558726898582722</v>
      </c>
      <c r="Q15" s="7">
        <f>$B15 * IFERROR(VLOOKUP("industry|SO2|Work loss days", US_national_yearly!$D:$AM, 25, FALSE) / VLOOKUP("industry|SO2|Work loss days", US_national_yearly!$D:$AM, 10, FALSE), 1)</f>
        <v>1.0634466523200772</v>
      </c>
      <c r="R15" s="7">
        <f>$B15 * IFERROR(VLOOKUP("industry|SO2|Work loss days", US_national_yearly!$D:$AM, 26, FALSE) / VLOOKUP("industry|SO2|Work loss days", US_national_yearly!$D:$AM, 10, FALSE), 1)</f>
        <v>1.0710206147818822</v>
      </c>
      <c r="S15" s="7">
        <f>$B15 * IFERROR(VLOOKUP("industry|SO2|Work loss days", US_national_yearly!$D:$AM, 27, FALSE) / VLOOKUP("industry|SO2|Work loss days", US_national_yearly!$D:$AM, 10, FALSE), 1)</f>
        <v>1.0794955666338086</v>
      </c>
      <c r="T15" s="7">
        <f>$B15 * IFERROR(VLOOKUP("industry|SO2|Work loss days", US_national_yearly!$D:$AM, 28, FALSE) / VLOOKUP("industry|SO2|Work loss days", US_national_yearly!$D:$AM, 10, FALSE), 1)</f>
        <v>1.0879705184857353</v>
      </c>
      <c r="U15" s="7">
        <f>$B15 * IFERROR(VLOOKUP("industry|SO2|Work loss days", US_national_yearly!$D:$AM, 29, FALSE) / VLOOKUP("industry|SO2|Work loss days", US_national_yearly!$D:$AM, 10, FALSE), 1)</f>
        <v>1.0964454703376623</v>
      </c>
      <c r="V15" s="7">
        <f>$B15 * IFERROR(VLOOKUP("industry|SO2|Work loss days", US_national_yearly!$D:$AM, 30, FALSE) / VLOOKUP("industry|SO2|Work loss days", US_national_yearly!$D:$AM, 10, FALSE), 1)</f>
        <v>1.1049204221895887</v>
      </c>
      <c r="W15" s="7">
        <f>$B15 * IFERROR(VLOOKUP("industry|SO2|Work loss days", US_national_yearly!$D:$AM, 31, FALSE) / VLOOKUP("industry|SO2|Work loss days", US_national_yearly!$D:$AM, 10, FALSE), 1)</f>
        <v>1.1133953740415155</v>
      </c>
      <c r="X15" s="7">
        <f>$B15 * IFERROR(VLOOKUP("industry|SO2|Work loss days", US_national_yearly!$D:$AM, 32, FALSE) / VLOOKUP("industry|SO2|Work loss days", US_national_yearly!$D:$AM, 10, FALSE), 1)</f>
        <v>1.1210073460699466</v>
      </c>
      <c r="Y15" s="7">
        <f>$B15 * IFERROR(VLOOKUP("industry|SO2|Work loss days", US_national_yearly!$D:$AM, 33, FALSE) / VLOOKUP("industry|SO2|Work loss days", US_national_yearly!$D:$AM, 10, FALSE), 1)</f>
        <v>1.1286193180983777</v>
      </c>
      <c r="Z15" s="7">
        <f>$B15 * IFERROR(VLOOKUP("industry|SO2|Work loss days", US_national_yearly!$D:$AM, 34, FALSE) / VLOOKUP("industry|SO2|Work loss days", US_national_yearly!$D:$AM, 10, FALSE), 1)</f>
        <v>1.1362312901268086</v>
      </c>
      <c r="AA15" s="7">
        <f>$B15 * IFERROR(VLOOKUP("industry|SO2|Work loss days", US_national_yearly!$D:$AM, 35, FALSE) / VLOOKUP("industry|SO2|Work loss days", US_national_yearly!$D:$AM, 10, FALSE), 1)</f>
        <v>1.1438432621552399</v>
      </c>
      <c r="AB15" s="7">
        <f>$B15 * IFERROR(VLOOKUP("industry|SO2|Work loss days", US_national_yearly!$D:$AM, 36, FALSE) / VLOOKUP("industry|SO2|Work loss days", US_national_yearly!$D:$AM, 10, FALSE), 1)</f>
        <v>1.151455234183671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1.7562192138349875E-3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1.809322359328088E-3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1.8624255048211892E-3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1.9155286503142902E-3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1.9686317958073911E-3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2.0195237630109024E-3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2.0704157302144136E-3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2.114082820135059E-3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2.1577499100557049E-3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2.2014169999763507E-3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2.2450840898969962E-3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2.2887511798176416E-3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2.3180890978790583E-3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2.3474270159404751E-3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2.3767649340018914E-3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2.4061028520633082E-3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2.4354407701247249E-3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2.4509535238112002E-3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2.4664662774976768E-3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2.4819790311841521E-3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2.4974917848706282E-3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2.513004538557104E-3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2.5234952730590439E-3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2.5339860075609833E-3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2.5444767420629236E-3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2.5549674765648635E-3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2.565458211066803E-3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2.9461953651268788E-4</v>
      </c>
      <c r="C2" s="7">
        <f>$B2 * IFERROR(VLOOKUP("LULUCF|PM25|Premature mortality", US_national_yearly!$D:$AM, 11, FALSE) / VLOOKUP("LULUCF|PM25|Premature mortality", US_national_yearly!$D:$AM, 10, FALSE), 1)</f>
        <v>2.9827217311081613E-4</v>
      </c>
      <c r="D2" s="7">
        <f>$B2 * IFERROR(VLOOKUP("LULUCF|PM25|Premature mortality", US_national_yearly!$D:$AM, 12, FALSE) / VLOOKUP("LULUCF|PM25|Premature mortality", US_national_yearly!$D:$AM, 10, FALSE), 1)</f>
        <v>3.0192480970894439E-4</v>
      </c>
      <c r="E2" s="7">
        <f>$B2 * IFERROR(VLOOKUP("LULUCF|PM25|Premature mortality", US_national_yearly!$D:$AM, 13, FALSE) / VLOOKUP("LULUCF|PM25|Premature mortality", US_national_yearly!$D:$AM, 10, FALSE), 1)</f>
        <v>3.0557744630707259E-4</v>
      </c>
      <c r="F2" s="7">
        <f>$B2 * IFERROR(VLOOKUP("LULUCF|PM25|Premature mortality", US_national_yearly!$D:$AM, 14, FALSE) / VLOOKUP("LULUCF|PM25|Premature mortality", US_national_yearly!$D:$AM, 10, FALSE), 1)</f>
        <v>3.0923008290520079E-4</v>
      </c>
      <c r="G2" s="7">
        <f>$B2 * IFERROR(VLOOKUP("LULUCF|PM25|Premature mortality", US_national_yearly!$D:$AM, 15, FALSE) / VLOOKUP("LULUCF|PM25|Premature mortality", US_national_yearly!$D:$AM, 10, FALSE), 1)</f>
        <v>3.1634356513252239E-4</v>
      </c>
      <c r="H2" s="7">
        <f>$B2 * IFERROR(VLOOKUP("LULUCF|PM25|Premature mortality", US_national_yearly!$D:$AM, 16, FALSE) / VLOOKUP("LULUCF|PM25|Premature mortality", US_national_yearly!$D:$AM, 10, FALSE), 1)</f>
        <v>3.23457047359844E-4</v>
      </c>
      <c r="I2" s="7">
        <f>$B2 * IFERROR(VLOOKUP("LULUCF|PM25|Premature mortality", US_national_yearly!$D:$AM, 17, FALSE) / VLOOKUP("LULUCF|PM25|Premature mortality", US_national_yearly!$D:$AM, 10, FALSE), 1)</f>
        <v>3.2812948192974657E-4</v>
      </c>
      <c r="J2" s="7">
        <f>$B2 * IFERROR(VLOOKUP("LULUCF|PM25|Premature mortality", US_national_yearly!$D:$AM, 18, FALSE) / VLOOKUP("LULUCF|PM25|Premature mortality", US_national_yearly!$D:$AM, 10, FALSE), 1)</f>
        <v>3.3280191649964931E-4</v>
      </c>
      <c r="K2" s="7">
        <f>$B2 * IFERROR(VLOOKUP("LULUCF|PM25|Premature mortality", US_national_yearly!$D:$AM, 19, FALSE) / VLOOKUP("LULUCF|PM25|Premature mortality", US_national_yearly!$D:$AM, 10, FALSE), 1)</f>
        <v>3.3747435106955194E-4</v>
      </c>
      <c r="L2" s="7">
        <f>$B2 * IFERROR(VLOOKUP("LULUCF|PM25|Premature mortality", US_national_yearly!$D:$AM, 20, FALSE) / VLOOKUP("LULUCF|PM25|Premature mortality", US_national_yearly!$D:$AM, 10, FALSE), 1)</f>
        <v>3.4214678563945463E-4</v>
      </c>
      <c r="M2" s="7">
        <f>$B2 * IFERROR(VLOOKUP("LULUCF|PM25|Premature mortality", US_national_yearly!$D:$AM, 21, FALSE) / VLOOKUP("LULUCF|PM25|Premature mortality", US_national_yearly!$D:$AM, 10, FALSE), 1)</f>
        <v>3.4681922020935731E-4</v>
      </c>
      <c r="N2" s="7">
        <f>$B2 * IFERROR(VLOOKUP("LULUCF|PM25|Premature mortality", US_national_yearly!$D:$AM, 22, FALSE) / VLOOKUP("LULUCF|PM25|Premature mortality", US_national_yearly!$D:$AM, 10, FALSE), 1)</f>
        <v>3.5044706828027682E-4</v>
      </c>
      <c r="O2" s="7">
        <f>$B2 * IFERROR(VLOOKUP("LULUCF|PM25|Premature mortality", US_national_yearly!$D:$AM, 23, FALSE) / VLOOKUP("LULUCF|PM25|Premature mortality", US_national_yearly!$D:$AM, 10, FALSE), 1)</f>
        <v>3.5407491635119632E-4</v>
      </c>
      <c r="P2" s="7">
        <f>$B2 * IFERROR(VLOOKUP("LULUCF|PM25|Premature mortality", US_national_yearly!$D:$AM, 24, FALSE) / VLOOKUP("LULUCF|PM25|Premature mortality", US_national_yearly!$D:$AM, 10, FALSE), 1)</f>
        <v>3.5770276442211583E-4</v>
      </c>
      <c r="Q2" s="7">
        <f>$B2 * IFERROR(VLOOKUP("LULUCF|PM25|Premature mortality", US_national_yearly!$D:$AM, 25, FALSE) / VLOOKUP("LULUCF|PM25|Premature mortality", US_national_yearly!$D:$AM, 10, FALSE), 1)</f>
        <v>3.6133061249303533E-4</v>
      </c>
      <c r="R2" s="7">
        <f>$B2 * IFERROR(VLOOKUP("LULUCF|PM25|Premature mortality", US_national_yearly!$D:$AM, 26, FALSE) / VLOOKUP("LULUCF|PM25|Premature mortality", US_national_yearly!$D:$AM, 10, FALSE), 1)</f>
        <v>3.6495846056395489E-4</v>
      </c>
      <c r="S2" s="7">
        <f>$B2 * IFERROR(VLOOKUP("LULUCF|PM25|Premature mortality", US_national_yearly!$D:$AM, 27, FALSE) / VLOOKUP("LULUCF|PM25|Premature mortality", US_national_yearly!$D:$AM, 10, FALSE), 1)</f>
        <v>3.6688038668496924E-4</v>
      </c>
      <c r="T2" s="7">
        <f>$B2 * IFERROR(VLOOKUP("LULUCF|PM25|Premature mortality", US_national_yearly!$D:$AM, 28, FALSE) / VLOOKUP("LULUCF|PM25|Premature mortality", US_national_yearly!$D:$AM, 10, FALSE), 1)</f>
        <v>3.6880231280598353E-4</v>
      </c>
      <c r="U2" s="7">
        <f>$B2 * IFERROR(VLOOKUP("LULUCF|PM25|Premature mortality", US_national_yearly!$D:$AM, 29, FALSE) / VLOOKUP("LULUCF|PM25|Premature mortality", US_national_yearly!$D:$AM, 10, FALSE), 1)</f>
        <v>3.7072423892699783E-4</v>
      </c>
      <c r="V2" s="7">
        <f>$B2 * IFERROR(VLOOKUP("LULUCF|PM25|Premature mortality", US_national_yearly!$D:$AM, 30, FALSE) / VLOOKUP("LULUCF|PM25|Premature mortality", US_national_yearly!$D:$AM, 10, FALSE), 1)</f>
        <v>3.7264616504801212E-4</v>
      </c>
      <c r="W2" s="7">
        <f>$B2 * IFERROR(VLOOKUP("LULUCF|PM25|Premature mortality", US_national_yearly!$D:$AM, 31, FALSE) / VLOOKUP("LULUCF|PM25|Premature mortality", US_national_yearly!$D:$AM, 10, FALSE), 1)</f>
        <v>3.7456809116902647E-4</v>
      </c>
      <c r="X2" s="7">
        <f>$B2 * IFERROR(VLOOKUP("LULUCF|PM25|Premature mortality", US_national_yearly!$D:$AM, 32, FALSE) / VLOOKUP("LULUCF|PM25|Premature mortality", US_national_yearly!$D:$AM, 10, FALSE), 1)</f>
        <v>3.7490415481841423E-4</v>
      </c>
      <c r="Y2" s="7">
        <f>$B2 * IFERROR(VLOOKUP("LULUCF|PM25|Premature mortality", US_national_yearly!$D:$AM, 33, FALSE) / VLOOKUP("LULUCF|PM25|Premature mortality", US_national_yearly!$D:$AM, 10, FALSE), 1)</f>
        <v>3.7524021846780211E-4</v>
      </c>
      <c r="Z2" s="7">
        <f>$B2 * IFERROR(VLOOKUP("LULUCF|PM25|Premature mortality", US_national_yearly!$D:$AM, 34, FALSE) / VLOOKUP("LULUCF|PM25|Premature mortality", US_national_yearly!$D:$AM, 10, FALSE), 1)</f>
        <v>3.7557628211718993E-4</v>
      </c>
      <c r="AA2" s="7">
        <f>$B2 * IFERROR(VLOOKUP("LULUCF|PM25|Premature mortality", US_national_yearly!$D:$AM, 35, FALSE) / VLOOKUP("LULUCF|PM25|Premature mortality", US_national_yearly!$D:$AM, 10, FALSE), 1)</f>
        <v>3.7591234576657781E-4</v>
      </c>
      <c r="AB2" s="7">
        <f>$B2 * IFERROR(VLOOKUP("LULUCF|PM25|Premature mortality", US_national_yearly!$D:$AM, 36, FALSE) / VLOOKUP("LULUCF|PM25|Premature mortality", US_national_yearly!$D:$AM, 10, FALSE), 1)</f>
        <v>3.7624840941596563E-4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4.5533565584450081E-7</v>
      </c>
      <c r="C3" s="7">
        <f>$B3 * IFERROR(VLOOKUP("LULUCF|PM25|Infant mortality", US_national_yearly!$D:$AM, 11, FALSE) / VLOOKUP("LULUCF|PM25|Infant mortality", US_national_yearly!$D:$AM, 10, FALSE), 1)</f>
        <v>4.5136554442228429E-7</v>
      </c>
      <c r="D3" s="7">
        <f>$B3 * IFERROR(VLOOKUP("LULUCF|PM25|Infant mortality", US_national_yearly!$D:$AM, 12, FALSE) / VLOOKUP("LULUCF|PM25|Infant mortality", US_national_yearly!$D:$AM, 10, FALSE), 1)</f>
        <v>4.4739543300006776E-7</v>
      </c>
      <c r="E3" s="7">
        <f>$B3 * IFERROR(VLOOKUP("LULUCF|PM25|Infant mortality", US_national_yearly!$D:$AM, 13, FALSE) / VLOOKUP("LULUCF|PM25|Infant mortality", US_national_yearly!$D:$AM, 10, FALSE), 1)</f>
        <v>4.4342532157785124E-7</v>
      </c>
      <c r="F3" s="7">
        <f>$B3 * IFERROR(VLOOKUP("LULUCF|PM25|Infant mortality", US_national_yearly!$D:$AM, 14, FALSE) / VLOOKUP("LULUCF|PM25|Infant mortality", US_national_yearly!$D:$AM, 10, FALSE), 1)</f>
        <v>4.3945521015563466E-7</v>
      </c>
      <c r="G3" s="7">
        <f>$B3 * IFERROR(VLOOKUP("LULUCF|PM25|Infant mortality", US_national_yearly!$D:$AM, 15, FALSE) / VLOOKUP("LULUCF|PM25|Infant mortality", US_national_yearly!$D:$AM, 10, FALSE), 1)</f>
        <v>2.9226122207229954E-7</v>
      </c>
      <c r="H3" s="7">
        <f>$B3 * IFERROR(VLOOKUP("LULUCF|PM25|Infant mortality", US_national_yearly!$D:$AM, 16, FALSE) / VLOOKUP("LULUCF|PM25|Infant mortality", US_national_yearly!$D:$AM, 10, FALSE), 1)</f>
        <v>1.4506723398896436E-7</v>
      </c>
      <c r="I3" s="7">
        <f>$B3 * IFERROR(VLOOKUP("LULUCF|PM25|Infant mortality", US_national_yearly!$D:$AM, 17, FALSE) / VLOOKUP("LULUCF|PM25|Infant mortality", US_national_yearly!$D:$AM, 10, FALSE), 1)</f>
        <v>1.4411897998514611E-7</v>
      </c>
      <c r="J3" s="7">
        <f>$B3 * IFERROR(VLOOKUP("LULUCF|PM25|Infant mortality", US_national_yearly!$D:$AM, 18, FALSE) / VLOOKUP("LULUCF|PM25|Infant mortality", US_national_yearly!$D:$AM, 10, FALSE), 1)</f>
        <v>1.4317072598132786E-7</v>
      </c>
      <c r="K3" s="7">
        <f>$B3 * IFERROR(VLOOKUP("LULUCF|PM25|Infant mortality", US_national_yearly!$D:$AM, 19, FALSE) / VLOOKUP("LULUCF|PM25|Infant mortality", US_national_yearly!$D:$AM, 10, FALSE), 1)</f>
        <v>1.4222247197750959E-7</v>
      </c>
      <c r="L3" s="7">
        <f>$B3 * IFERROR(VLOOKUP("LULUCF|PM25|Infant mortality", US_national_yearly!$D:$AM, 20, FALSE) / VLOOKUP("LULUCF|PM25|Infant mortality", US_national_yearly!$D:$AM, 10, FALSE), 1)</f>
        <v>1.4127421797369136E-7</v>
      </c>
      <c r="M3" s="7">
        <f>$B3 * IFERROR(VLOOKUP("LULUCF|PM25|Infant mortality", US_national_yearly!$D:$AM, 21, FALSE) / VLOOKUP("LULUCF|PM25|Infant mortality", US_national_yearly!$D:$AM, 10, FALSE), 1)</f>
        <v>1.4032596396987314E-7</v>
      </c>
      <c r="N3" s="7">
        <f>$B3 * IFERROR(VLOOKUP("LULUCF|PM25|Infant mortality", US_national_yearly!$D:$AM, 22, FALSE) / VLOOKUP("LULUCF|PM25|Infant mortality", US_national_yearly!$D:$AM, 10, FALSE), 1)</f>
        <v>1.3973035547350403E-7</v>
      </c>
      <c r="O3" s="7">
        <f>$B3 * IFERROR(VLOOKUP("LULUCF|PM25|Infant mortality", US_national_yearly!$D:$AM, 23, FALSE) / VLOOKUP("LULUCF|PM25|Infant mortality", US_national_yearly!$D:$AM, 10, FALSE), 1)</f>
        <v>1.3913474697713497E-7</v>
      </c>
      <c r="P3" s="7">
        <f>$B3 * IFERROR(VLOOKUP("LULUCF|PM25|Infant mortality", US_national_yearly!$D:$AM, 24, FALSE) / VLOOKUP("LULUCF|PM25|Infant mortality", US_national_yearly!$D:$AM, 10, FALSE), 1)</f>
        <v>1.3853913848076583E-7</v>
      </c>
      <c r="Q3" s="7">
        <f>$B3 * IFERROR(VLOOKUP("LULUCF|PM25|Infant mortality", US_national_yearly!$D:$AM, 25, FALSE) / VLOOKUP("LULUCF|PM25|Infant mortality", US_national_yearly!$D:$AM, 10, FALSE), 1)</f>
        <v>1.3794352998439678E-7</v>
      </c>
      <c r="R3" s="7">
        <f>$B3 * IFERROR(VLOOKUP("LULUCF|PM25|Infant mortality", US_national_yearly!$D:$AM, 26, FALSE) / VLOOKUP("LULUCF|PM25|Infant mortality", US_national_yearly!$D:$AM, 10, FALSE), 1)</f>
        <v>1.3734792148802767E-7</v>
      </c>
      <c r="S3" s="7">
        <f>$B3 * IFERROR(VLOOKUP("LULUCF|PM25|Infant mortality", US_national_yearly!$D:$AM, 27, FALSE) / VLOOKUP("LULUCF|PM25|Infant mortality", US_national_yearly!$D:$AM, 10, FALSE), 1)</f>
        <v>1.3660548331913573E-7</v>
      </c>
      <c r="T3" s="7">
        <f>$B3 * IFERROR(VLOOKUP("LULUCF|PM25|Infant mortality", US_national_yearly!$D:$AM, 28, FALSE) / VLOOKUP("LULUCF|PM25|Infant mortality", US_national_yearly!$D:$AM, 10, FALSE), 1)</f>
        <v>1.3586304515024377E-7</v>
      </c>
      <c r="U3" s="7">
        <f>$B3 * IFERROR(VLOOKUP("LULUCF|PM25|Infant mortality", US_national_yearly!$D:$AM, 29, FALSE) / VLOOKUP("LULUCF|PM25|Infant mortality", US_national_yearly!$D:$AM, 10, FALSE), 1)</f>
        <v>1.3512060698135184E-7</v>
      </c>
      <c r="V3" s="7">
        <f>$B3 * IFERROR(VLOOKUP("LULUCF|PM25|Infant mortality", US_national_yearly!$D:$AM, 30, FALSE) / VLOOKUP("LULUCF|PM25|Infant mortality", US_national_yearly!$D:$AM, 10, FALSE), 1)</f>
        <v>1.3437816881245991E-7</v>
      </c>
      <c r="W3" s="7">
        <f>$B3 * IFERROR(VLOOKUP("LULUCF|PM25|Infant mortality", US_national_yearly!$D:$AM, 31, FALSE) / VLOOKUP("LULUCF|PM25|Infant mortality", US_national_yearly!$D:$AM, 10, FALSE), 1)</f>
        <v>1.3363573064356792E-7</v>
      </c>
      <c r="X3" s="7">
        <f>$B3 * IFERROR(VLOOKUP("LULUCF|PM25|Infant mortality", US_national_yearly!$D:$AM, 32, FALSE) / VLOOKUP("LULUCF|PM25|Infant mortality", US_national_yearly!$D:$AM, 10, FALSE), 1)</f>
        <v>1.3283528898281442E-7</v>
      </c>
      <c r="Y3" s="7">
        <f>$B3 * IFERROR(VLOOKUP("LULUCF|PM25|Infant mortality", US_national_yearly!$D:$AM, 33, FALSE) / VLOOKUP("LULUCF|PM25|Infant mortality", US_national_yearly!$D:$AM, 10, FALSE), 1)</f>
        <v>1.3203484732206088E-7</v>
      </c>
      <c r="Z3" s="7">
        <f>$B3 * IFERROR(VLOOKUP("LULUCF|PM25|Infant mortality", US_national_yearly!$D:$AM, 34, FALSE) / VLOOKUP("LULUCF|PM25|Infant mortality", US_national_yearly!$D:$AM, 10, FALSE), 1)</f>
        <v>1.3123440566130738E-7</v>
      </c>
      <c r="AA3" s="7">
        <f>$B3 * IFERROR(VLOOKUP("LULUCF|PM25|Infant mortality", US_national_yearly!$D:$AM, 35, FALSE) / VLOOKUP("LULUCF|PM25|Infant mortality", US_national_yearly!$D:$AM, 10, FALSE), 1)</f>
        <v>1.3043396400055384E-7</v>
      </c>
      <c r="AB3" s="7">
        <f>$B3 * IFERROR(VLOOKUP("LULUCF|PM25|Infant mortality", US_national_yearly!$D:$AM, 36, FALSE) / VLOOKUP("LULUCF|PM25|Infant mortality", US_national_yearly!$D:$AM, 10, FALSE), 1)</f>
        <v>1.2963352233980034E-7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6.8800587273550723E-4</v>
      </c>
      <c r="C6" s="7">
        <f>$B6 * IFERROR(VLOOKUP("LULUCF|PM25|Asthma symptoms cough", US_national_yearly!$D:$AM, 11, FALSE) / VLOOKUP("LULUCF|PM25|Asthma symptoms cough", US_national_yearly!$D:$AM, 10, FALSE), 1)</f>
        <v>6.8800587273550723E-4</v>
      </c>
      <c r="D6" s="7">
        <f>$B6 * IFERROR(VLOOKUP("LULUCF|PM25|Asthma symptoms cough", US_national_yearly!$D:$AM, 12, FALSE) / VLOOKUP("LULUCF|PM25|Asthma symptoms cough", US_national_yearly!$D:$AM, 10, FALSE), 1)</f>
        <v>6.8800587273550723E-4</v>
      </c>
      <c r="E6" s="7">
        <f>$B6 * IFERROR(VLOOKUP("LULUCF|PM25|Asthma symptoms cough", US_national_yearly!$D:$AM, 13, FALSE) / VLOOKUP("LULUCF|PM25|Asthma symptoms cough", US_national_yearly!$D:$AM, 10, FALSE), 1)</f>
        <v>6.8800587273550723E-4</v>
      </c>
      <c r="F6" s="7">
        <f>$B6 * IFERROR(VLOOKUP("LULUCF|PM25|Asthma symptoms cough", US_national_yearly!$D:$AM, 14, FALSE) / VLOOKUP("LULUCF|PM25|Asthma symptoms cough", US_national_yearly!$D:$AM, 10, FALSE), 1)</f>
        <v>6.8800587273550723E-4</v>
      </c>
      <c r="G6" s="7">
        <f>$B6 * IFERROR(VLOOKUP("LULUCF|PM25|Asthma symptoms cough", US_national_yearly!$D:$AM, 15, FALSE) / VLOOKUP("LULUCF|PM25|Asthma symptoms cough", US_national_yearly!$D:$AM, 10, FALSE), 1)</f>
        <v>6.8800587273550723E-4</v>
      </c>
      <c r="H6" s="7">
        <f>$B6 * IFERROR(VLOOKUP("LULUCF|PM25|Asthma symptoms cough", US_national_yearly!$D:$AM, 16, FALSE) / VLOOKUP("LULUCF|PM25|Asthma symptoms cough", US_national_yearly!$D:$AM, 10, FALSE), 1)</f>
        <v>6.8800587273550723E-4</v>
      </c>
      <c r="I6" s="7">
        <f>$B6 * IFERROR(VLOOKUP("LULUCF|PM25|Asthma symptoms cough", US_national_yearly!$D:$AM, 17, FALSE) / VLOOKUP("LULUCF|PM25|Asthma symptoms cough", US_national_yearly!$D:$AM, 10, FALSE), 1)</f>
        <v>6.8800587273550723E-4</v>
      </c>
      <c r="J6" s="7">
        <f>$B6 * IFERROR(VLOOKUP("LULUCF|PM25|Asthma symptoms cough", US_national_yearly!$D:$AM, 18, FALSE) / VLOOKUP("LULUCF|PM25|Asthma symptoms cough", US_national_yearly!$D:$AM, 10, FALSE), 1)</f>
        <v>6.8800587273550723E-4</v>
      </c>
      <c r="K6" s="7">
        <f>$B6 * IFERROR(VLOOKUP("LULUCF|PM25|Asthma symptoms cough", US_national_yearly!$D:$AM, 19, FALSE) / VLOOKUP("LULUCF|PM25|Asthma symptoms cough", US_national_yearly!$D:$AM, 10, FALSE), 1)</f>
        <v>6.8800587273550723E-4</v>
      </c>
      <c r="L6" s="7">
        <f>$B6 * IFERROR(VLOOKUP("LULUCF|PM25|Asthma symptoms cough", US_national_yearly!$D:$AM, 20, FALSE) / VLOOKUP("LULUCF|PM25|Asthma symptoms cough", US_national_yearly!$D:$AM, 10, FALSE), 1)</f>
        <v>6.8800587273550723E-4</v>
      </c>
      <c r="M6" s="7">
        <f>$B6 * IFERROR(VLOOKUP("LULUCF|PM25|Asthma symptoms cough", US_national_yearly!$D:$AM, 21, FALSE) / VLOOKUP("LULUCF|PM25|Asthma symptoms cough", US_national_yearly!$D:$AM, 10, FALSE), 1)</f>
        <v>6.8800587273550723E-4</v>
      </c>
      <c r="N6" s="7">
        <f>$B6 * IFERROR(VLOOKUP("LULUCF|PM25|Asthma symptoms cough", US_national_yearly!$D:$AM, 22, FALSE) / VLOOKUP("LULUCF|PM25|Asthma symptoms cough", US_national_yearly!$D:$AM, 10, FALSE), 1)</f>
        <v>6.8800587273550723E-4</v>
      </c>
      <c r="O6" s="7">
        <f>$B6 * IFERROR(VLOOKUP("LULUCF|PM25|Asthma symptoms cough", US_national_yearly!$D:$AM, 23, FALSE) / VLOOKUP("LULUCF|PM25|Asthma symptoms cough", US_national_yearly!$D:$AM, 10, FALSE), 1)</f>
        <v>6.8800587273550723E-4</v>
      </c>
      <c r="P6" s="7">
        <f>$B6 * IFERROR(VLOOKUP("LULUCF|PM25|Asthma symptoms cough", US_national_yearly!$D:$AM, 24, FALSE) / VLOOKUP("LULUCF|PM25|Asthma symptoms cough", US_national_yearly!$D:$AM, 10, FALSE), 1)</f>
        <v>6.8800587273550723E-4</v>
      </c>
      <c r="Q6" s="7">
        <f>$B6 * IFERROR(VLOOKUP("LULUCF|PM25|Asthma symptoms cough", US_national_yearly!$D:$AM, 25, FALSE) / VLOOKUP("LULUCF|PM25|Asthma symptoms cough", US_national_yearly!$D:$AM, 10, FALSE), 1)</f>
        <v>6.8800587273550723E-4</v>
      </c>
      <c r="R6" s="7">
        <f>$B6 * IFERROR(VLOOKUP("LULUCF|PM25|Asthma symptoms cough", US_national_yearly!$D:$AM, 26, FALSE) / VLOOKUP("LULUCF|PM25|Asthma symptoms cough", US_national_yearly!$D:$AM, 10, FALSE), 1)</f>
        <v>6.8800587273550723E-4</v>
      </c>
      <c r="S6" s="7">
        <f>$B6 * IFERROR(VLOOKUP("LULUCF|PM25|Asthma symptoms cough", US_national_yearly!$D:$AM, 27, FALSE) / VLOOKUP("LULUCF|PM25|Asthma symptoms cough", US_national_yearly!$D:$AM, 10, FALSE), 1)</f>
        <v>6.8800587273550723E-4</v>
      </c>
      <c r="T6" s="7">
        <f>$B6 * IFERROR(VLOOKUP("LULUCF|PM25|Asthma symptoms cough", US_national_yearly!$D:$AM, 28, FALSE) / VLOOKUP("LULUCF|PM25|Asthma symptoms cough", US_national_yearly!$D:$AM, 10, FALSE), 1)</f>
        <v>6.8800587273550723E-4</v>
      </c>
      <c r="U6" s="7">
        <f>$B6 * IFERROR(VLOOKUP("LULUCF|PM25|Asthma symptoms cough", US_national_yearly!$D:$AM, 29, FALSE) / VLOOKUP("LULUCF|PM25|Asthma symptoms cough", US_national_yearly!$D:$AM, 10, FALSE), 1)</f>
        <v>6.8800587273550723E-4</v>
      </c>
      <c r="V6" s="7">
        <f>$B6 * IFERROR(VLOOKUP("LULUCF|PM25|Asthma symptoms cough", US_national_yearly!$D:$AM, 30, FALSE) / VLOOKUP("LULUCF|PM25|Asthma symptoms cough", US_national_yearly!$D:$AM, 10, FALSE), 1)</f>
        <v>6.8800587273550723E-4</v>
      </c>
      <c r="W6" s="7">
        <f>$B6 * IFERROR(VLOOKUP("LULUCF|PM25|Asthma symptoms cough", US_national_yearly!$D:$AM, 31, FALSE) / VLOOKUP("LULUCF|PM25|Asthma symptoms cough", US_national_yearly!$D:$AM, 10, FALSE), 1)</f>
        <v>6.8800587273550723E-4</v>
      </c>
      <c r="X6" s="7">
        <f>$B6 * IFERROR(VLOOKUP("LULUCF|PM25|Asthma symptoms cough", US_national_yearly!$D:$AM, 32, FALSE) / VLOOKUP("LULUCF|PM25|Asthma symptoms cough", US_national_yearly!$D:$AM, 10, FALSE), 1)</f>
        <v>6.8800587273550723E-4</v>
      </c>
      <c r="Y6" s="7">
        <f>$B6 * IFERROR(VLOOKUP("LULUCF|PM25|Asthma symptoms cough", US_national_yearly!$D:$AM, 33, FALSE) / VLOOKUP("LULUCF|PM25|Asthma symptoms cough", US_national_yearly!$D:$AM, 10, FALSE), 1)</f>
        <v>6.8800587273550723E-4</v>
      </c>
      <c r="Z6" s="7">
        <f>$B6 * IFERROR(VLOOKUP("LULUCF|PM25|Asthma symptoms cough", US_national_yearly!$D:$AM, 34, FALSE) / VLOOKUP("LULUCF|PM25|Asthma symptoms cough", US_national_yearly!$D:$AM, 10, FALSE), 1)</f>
        <v>6.8800587273550723E-4</v>
      </c>
      <c r="AA6" s="7">
        <f>$B6 * IFERROR(VLOOKUP("LULUCF|PM25|Asthma symptoms cough", US_national_yearly!$D:$AM, 35, FALSE) / VLOOKUP("LULUCF|PM25|Asthma symptoms cough", US_national_yearly!$D:$AM, 10, FALSE), 1)</f>
        <v>6.8800587273550723E-4</v>
      </c>
      <c r="AB6" s="7">
        <f>$B6 * IFERROR(VLOOKUP("LULUCF|PM25|Asthma symptoms cough", US_national_yearly!$D:$AM, 36, FALSE) / VLOOKUP("LULUCF|PM25|Asthma symptoms cough", US_national_yearly!$D:$AM, 10, FALSE), 1)</f>
        <v>6.8800587273550723E-4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9.2649962929465405E-4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9.2649962929465405E-4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9.2649962929465405E-4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9.2649962929465405E-4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9.2649962929465405E-4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9.2649962929465405E-4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9.2649962929465405E-4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9.2649962929465405E-4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9.2649962929465405E-4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9.2649962929465405E-4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9.2649962929465405E-4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9.2649962929465405E-4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9.2649962929465405E-4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9.2649962929465405E-4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9.2649962929465405E-4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9.2649962929465405E-4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9.2649962929465405E-4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9.2649962929465405E-4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9.2649962929465405E-4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9.2649962929465405E-4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9.2649962929465405E-4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9.2649962929465405E-4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9.2649962929465405E-4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9.2649962929465405E-4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9.2649962929465405E-4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9.2649962929465405E-4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9.2649962929465405E-4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1.4155348105778654E-3</v>
      </c>
      <c r="C8" s="7">
        <f>$B8 * IFERROR(VLOOKUP("LULUCF|PM25|Asthma symptoms wheeze", US_national_yearly!$D:$AM, 11, FALSE) / VLOOKUP("LULUCF|PM25|Asthma symptoms wheeze", US_national_yearly!$D:$AM, 10, FALSE), 1)</f>
        <v>1.4155348105778654E-3</v>
      </c>
      <c r="D8" s="7">
        <f>$B8 * IFERROR(VLOOKUP("LULUCF|PM25|Asthma symptoms wheeze", US_national_yearly!$D:$AM, 12, FALSE) / VLOOKUP("LULUCF|PM25|Asthma symptoms wheeze", US_national_yearly!$D:$AM, 10, FALSE), 1)</f>
        <v>1.4155348105778654E-3</v>
      </c>
      <c r="E8" s="7">
        <f>$B8 * IFERROR(VLOOKUP("LULUCF|PM25|Asthma symptoms wheeze", US_national_yearly!$D:$AM, 13, FALSE) / VLOOKUP("LULUCF|PM25|Asthma symptoms wheeze", US_national_yearly!$D:$AM, 10, FALSE), 1)</f>
        <v>1.4155348105778654E-3</v>
      </c>
      <c r="F8" s="7">
        <f>$B8 * IFERROR(VLOOKUP("LULUCF|PM25|Asthma symptoms wheeze", US_national_yearly!$D:$AM, 14, FALSE) / VLOOKUP("LULUCF|PM25|Asthma symptoms wheeze", US_national_yearly!$D:$AM, 10, FALSE), 1)</f>
        <v>1.4155348105778654E-3</v>
      </c>
      <c r="G8" s="7">
        <f>$B8 * IFERROR(VLOOKUP("LULUCF|PM25|Asthma symptoms wheeze", US_national_yearly!$D:$AM, 15, FALSE) / VLOOKUP("LULUCF|PM25|Asthma symptoms wheeze", US_national_yearly!$D:$AM, 10, FALSE), 1)</f>
        <v>1.4155348105778654E-3</v>
      </c>
      <c r="H8" s="7">
        <f>$B8 * IFERROR(VLOOKUP("LULUCF|PM25|Asthma symptoms wheeze", US_national_yearly!$D:$AM, 16, FALSE) / VLOOKUP("LULUCF|PM25|Asthma symptoms wheeze", US_national_yearly!$D:$AM, 10, FALSE), 1)</f>
        <v>1.4155348105778654E-3</v>
      </c>
      <c r="I8" s="7">
        <f>$B8 * IFERROR(VLOOKUP("LULUCF|PM25|Asthma symptoms wheeze", US_national_yearly!$D:$AM, 17, FALSE) / VLOOKUP("LULUCF|PM25|Asthma symptoms wheeze", US_national_yearly!$D:$AM, 10, FALSE), 1)</f>
        <v>1.4155348105778654E-3</v>
      </c>
      <c r="J8" s="7">
        <f>$B8 * IFERROR(VLOOKUP("LULUCF|PM25|Asthma symptoms wheeze", US_national_yearly!$D:$AM, 18, FALSE) / VLOOKUP("LULUCF|PM25|Asthma symptoms wheeze", US_national_yearly!$D:$AM, 10, FALSE), 1)</f>
        <v>1.4155348105778654E-3</v>
      </c>
      <c r="K8" s="7">
        <f>$B8 * IFERROR(VLOOKUP("LULUCF|PM25|Asthma symptoms wheeze", US_national_yearly!$D:$AM, 19, FALSE) / VLOOKUP("LULUCF|PM25|Asthma symptoms wheeze", US_national_yearly!$D:$AM, 10, FALSE), 1)</f>
        <v>1.4155348105778654E-3</v>
      </c>
      <c r="L8" s="7">
        <f>$B8 * IFERROR(VLOOKUP("LULUCF|PM25|Asthma symptoms wheeze", US_national_yearly!$D:$AM, 20, FALSE) / VLOOKUP("LULUCF|PM25|Asthma symptoms wheeze", US_national_yearly!$D:$AM, 10, FALSE), 1)</f>
        <v>1.4155348105778654E-3</v>
      </c>
      <c r="M8" s="7">
        <f>$B8 * IFERROR(VLOOKUP("LULUCF|PM25|Asthma symptoms wheeze", US_national_yearly!$D:$AM, 21, FALSE) / VLOOKUP("LULUCF|PM25|Asthma symptoms wheeze", US_national_yearly!$D:$AM, 10, FALSE), 1)</f>
        <v>1.4155348105778654E-3</v>
      </c>
      <c r="N8" s="7">
        <f>$B8 * IFERROR(VLOOKUP("LULUCF|PM25|Asthma symptoms wheeze", US_national_yearly!$D:$AM, 22, FALSE) / VLOOKUP("LULUCF|PM25|Asthma symptoms wheeze", US_national_yearly!$D:$AM, 10, FALSE), 1)</f>
        <v>1.4155348105778654E-3</v>
      </c>
      <c r="O8" s="7">
        <f>$B8 * IFERROR(VLOOKUP("LULUCF|PM25|Asthma symptoms wheeze", US_national_yearly!$D:$AM, 23, FALSE) / VLOOKUP("LULUCF|PM25|Asthma symptoms wheeze", US_national_yearly!$D:$AM, 10, FALSE), 1)</f>
        <v>1.4155348105778654E-3</v>
      </c>
      <c r="P8" s="7">
        <f>$B8 * IFERROR(VLOOKUP("LULUCF|PM25|Asthma symptoms wheeze", US_national_yearly!$D:$AM, 24, FALSE) / VLOOKUP("LULUCF|PM25|Asthma symptoms wheeze", US_national_yearly!$D:$AM, 10, FALSE), 1)</f>
        <v>1.4155348105778654E-3</v>
      </c>
      <c r="Q8" s="7">
        <f>$B8 * IFERROR(VLOOKUP("LULUCF|PM25|Asthma symptoms wheeze", US_national_yearly!$D:$AM, 25, FALSE) / VLOOKUP("LULUCF|PM25|Asthma symptoms wheeze", US_national_yearly!$D:$AM, 10, FALSE), 1)</f>
        <v>1.4155348105778654E-3</v>
      </c>
      <c r="R8" s="7">
        <f>$B8 * IFERROR(VLOOKUP("LULUCF|PM25|Asthma symptoms wheeze", US_national_yearly!$D:$AM, 26, FALSE) / VLOOKUP("LULUCF|PM25|Asthma symptoms wheeze", US_national_yearly!$D:$AM, 10, FALSE), 1)</f>
        <v>1.4155348105778654E-3</v>
      </c>
      <c r="S8" s="7">
        <f>$B8 * IFERROR(VLOOKUP("LULUCF|PM25|Asthma symptoms wheeze", US_national_yearly!$D:$AM, 27, FALSE) / VLOOKUP("LULUCF|PM25|Asthma symptoms wheeze", US_national_yearly!$D:$AM, 10, FALSE), 1)</f>
        <v>1.4155348105778654E-3</v>
      </c>
      <c r="T8" s="7">
        <f>$B8 * IFERROR(VLOOKUP("LULUCF|PM25|Asthma symptoms wheeze", US_national_yearly!$D:$AM, 28, FALSE) / VLOOKUP("LULUCF|PM25|Asthma symptoms wheeze", US_national_yearly!$D:$AM, 10, FALSE), 1)</f>
        <v>1.4155348105778654E-3</v>
      </c>
      <c r="U8" s="7">
        <f>$B8 * IFERROR(VLOOKUP("LULUCF|PM25|Asthma symptoms wheeze", US_national_yearly!$D:$AM, 29, FALSE) / VLOOKUP("LULUCF|PM25|Asthma symptoms wheeze", US_national_yearly!$D:$AM, 10, FALSE), 1)</f>
        <v>1.4155348105778654E-3</v>
      </c>
      <c r="V8" s="7">
        <f>$B8 * IFERROR(VLOOKUP("LULUCF|PM25|Asthma symptoms wheeze", US_national_yearly!$D:$AM, 30, FALSE) / VLOOKUP("LULUCF|PM25|Asthma symptoms wheeze", US_national_yearly!$D:$AM, 10, FALSE), 1)</f>
        <v>1.4155348105778654E-3</v>
      </c>
      <c r="W8" s="7">
        <f>$B8 * IFERROR(VLOOKUP("LULUCF|PM25|Asthma symptoms wheeze", US_national_yearly!$D:$AM, 31, FALSE) / VLOOKUP("LULUCF|PM25|Asthma symptoms wheeze", US_national_yearly!$D:$AM, 10, FALSE), 1)</f>
        <v>1.4155348105778654E-3</v>
      </c>
      <c r="X8" s="7">
        <f>$B8 * IFERROR(VLOOKUP("LULUCF|PM25|Asthma symptoms wheeze", US_national_yearly!$D:$AM, 32, FALSE) / VLOOKUP("LULUCF|PM25|Asthma symptoms wheeze", US_national_yearly!$D:$AM, 10, FALSE), 1)</f>
        <v>1.4155348105778654E-3</v>
      </c>
      <c r="Y8" s="7">
        <f>$B8 * IFERROR(VLOOKUP("LULUCF|PM25|Asthma symptoms wheeze", US_national_yearly!$D:$AM, 33, FALSE) / VLOOKUP("LULUCF|PM25|Asthma symptoms wheeze", US_national_yearly!$D:$AM, 10, FALSE), 1)</f>
        <v>1.4155348105778654E-3</v>
      </c>
      <c r="Z8" s="7">
        <f>$B8 * IFERROR(VLOOKUP("LULUCF|PM25|Asthma symptoms wheeze", US_national_yearly!$D:$AM, 34, FALSE) / VLOOKUP("LULUCF|PM25|Asthma symptoms wheeze", US_national_yearly!$D:$AM, 10, FALSE), 1)</f>
        <v>1.4155348105778654E-3</v>
      </c>
      <c r="AA8" s="7">
        <f>$B8 * IFERROR(VLOOKUP("LULUCF|PM25|Asthma symptoms wheeze", US_national_yearly!$D:$AM, 35, FALSE) / VLOOKUP("LULUCF|PM25|Asthma symptoms wheeze", US_national_yearly!$D:$AM, 10, FALSE), 1)</f>
        <v>1.4155348105778654E-3</v>
      </c>
      <c r="AB8" s="7">
        <f>$B8 * IFERROR(VLOOKUP("LULUCF|PM25|Asthma symptoms wheeze", US_national_yearly!$D:$AM, 36, FALSE) / VLOOKUP("LULUCF|PM25|Asthma symptoms wheeze", US_national_yearly!$D:$AM, 10, FALSE), 1)</f>
        <v>1.4155348105778654E-3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2.368008958821191E-5</v>
      </c>
      <c r="C12" s="7">
        <f>$B12 * IFERROR(VLOOKUP("LULUCF|PM25|Respiratory hospital admissions", US_national_yearly!$D:$AM, 11, FALSE) / VLOOKUP("LULUCF|PM25|Respiratory hospital admissions", US_national_yearly!$D:$AM, 10, FALSE), 1)</f>
        <v>2.3815814317306797E-5</v>
      </c>
      <c r="D12" s="7">
        <f>$B12 * IFERROR(VLOOKUP("LULUCF|PM25|Respiratory hospital admissions", US_national_yearly!$D:$AM, 12, FALSE) / VLOOKUP("LULUCF|PM25|Respiratory hospital admissions", US_national_yearly!$D:$AM, 10, FALSE), 1)</f>
        <v>2.3951539046401681E-5</v>
      </c>
      <c r="E12" s="7">
        <f>$B12 * IFERROR(VLOOKUP("LULUCF|PM25|Respiratory hospital admissions", US_national_yearly!$D:$AM, 13, FALSE) / VLOOKUP("LULUCF|PM25|Respiratory hospital admissions", US_national_yearly!$D:$AM, 10, FALSE), 1)</f>
        <v>2.4087263775496571E-5</v>
      </c>
      <c r="F12" s="7">
        <f>$B12 * IFERROR(VLOOKUP("LULUCF|PM25|Respiratory hospital admissions", US_national_yearly!$D:$AM, 14, FALSE) / VLOOKUP("LULUCF|PM25|Respiratory hospital admissions", US_national_yearly!$D:$AM, 10, FALSE), 1)</f>
        <v>2.4222988504591454E-5</v>
      </c>
      <c r="G12" s="7">
        <f>$B12 * IFERROR(VLOOKUP("LULUCF|PM25|Respiratory hospital admissions", US_national_yearly!$D:$AM, 15, FALSE) / VLOOKUP("LULUCF|PM25|Respiratory hospital admissions", US_national_yearly!$D:$AM, 10, FALSE), 1)</f>
        <v>2.4369577001389668E-5</v>
      </c>
      <c r="H12" s="7">
        <f>$B12 * IFERROR(VLOOKUP("LULUCF|PM25|Respiratory hospital admissions", US_national_yearly!$D:$AM, 16, FALSE) / VLOOKUP("LULUCF|PM25|Respiratory hospital admissions", US_national_yearly!$D:$AM, 10, FALSE), 1)</f>
        <v>2.4516165498187878E-5</v>
      </c>
      <c r="I12" s="7">
        <f>$B12 * IFERROR(VLOOKUP("LULUCF|PM25|Respiratory hospital admissions", US_national_yearly!$D:$AM, 17, FALSE) / VLOOKUP("LULUCF|PM25|Respiratory hospital admissions", US_national_yearly!$D:$AM, 10, FALSE), 1)</f>
        <v>2.4656225237466762E-5</v>
      </c>
      <c r="J12" s="7">
        <f>$B12 * IFERROR(VLOOKUP("LULUCF|PM25|Respiratory hospital admissions", US_national_yearly!$D:$AM, 18, FALSE) / VLOOKUP("LULUCF|PM25|Respiratory hospital admissions", US_national_yearly!$D:$AM, 10, FALSE), 1)</f>
        <v>2.4796284976745656E-5</v>
      </c>
      <c r="K12" s="7">
        <f>$B12 * IFERROR(VLOOKUP("LULUCF|PM25|Respiratory hospital admissions", US_national_yearly!$D:$AM, 19, FALSE) / VLOOKUP("LULUCF|PM25|Respiratory hospital admissions", US_national_yearly!$D:$AM, 10, FALSE), 1)</f>
        <v>2.4936344716024544E-5</v>
      </c>
      <c r="L12" s="7">
        <f>$B12 * IFERROR(VLOOKUP("LULUCF|PM25|Respiratory hospital admissions", US_national_yearly!$D:$AM, 20, FALSE) / VLOOKUP("LULUCF|PM25|Respiratory hospital admissions", US_national_yearly!$D:$AM, 10, FALSE), 1)</f>
        <v>2.5076404455303435E-5</v>
      </c>
      <c r="M12" s="7">
        <f>$B12 * IFERROR(VLOOKUP("LULUCF|PM25|Respiratory hospital admissions", US_national_yearly!$D:$AM, 21, FALSE) / VLOOKUP("LULUCF|PM25|Respiratory hospital admissions", US_national_yearly!$D:$AM, 10, FALSE), 1)</f>
        <v>2.5216464194582319E-5</v>
      </c>
      <c r="N12" s="7">
        <f>$B12 * IFERROR(VLOOKUP("LULUCF|PM25|Respiratory hospital admissions", US_national_yearly!$D:$AM, 22, FALSE) / VLOOKUP("LULUCF|PM25|Respiratory hospital admissions", US_national_yearly!$D:$AM, 10, FALSE), 1)</f>
        <v>2.5316989156662144E-5</v>
      </c>
      <c r="O12" s="7">
        <f>$B12 * IFERROR(VLOOKUP("LULUCF|PM25|Respiratory hospital admissions", US_national_yearly!$D:$AM, 23, FALSE) / VLOOKUP("LULUCF|PM25|Respiratory hospital admissions", US_national_yearly!$D:$AM, 10, FALSE), 1)</f>
        <v>2.5417514118741961E-5</v>
      </c>
      <c r="P12" s="7">
        <f>$B12 * IFERROR(VLOOKUP("LULUCF|PM25|Respiratory hospital admissions", US_national_yearly!$D:$AM, 24, FALSE) / VLOOKUP("LULUCF|PM25|Respiratory hospital admissions", US_national_yearly!$D:$AM, 10, FALSE), 1)</f>
        <v>2.5518039080821772E-5</v>
      </c>
      <c r="Q12" s="7">
        <f>$B12 * IFERROR(VLOOKUP("LULUCF|PM25|Respiratory hospital admissions", US_national_yearly!$D:$AM, 25, FALSE) / VLOOKUP("LULUCF|PM25|Respiratory hospital admissions", US_national_yearly!$D:$AM, 10, FALSE), 1)</f>
        <v>2.5618564042901589E-5</v>
      </c>
      <c r="R12" s="7">
        <f>$B12 * IFERROR(VLOOKUP("LULUCF|PM25|Respiratory hospital admissions", US_national_yearly!$D:$AM, 26, FALSE) / VLOOKUP("LULUCF|PM25|Respiratory hospital admissions", US_national_yearly!$D:$AM, 10, FALSE), 1)</f>
        <v>2.5719089004981413E-5</v>
      </c>
      <c r="S12" s="7">
        <f>$B12 * IFERROR(VLOOKUP("LULUCF|PM25|Respiratory hospital admissions", US_national_yearly!$D:$AM, 27, FALSE) / VLOOKUP("LULUCF|PM25|Respiratory hospital admissions", US_national_yearly!$D:$AM, 10, FALSE), 1)</f>
        <v>2.5814802014841546E-5</v>
      </c>
      <c r="T12" s="7">
        <f>$B12 * IFERROR(VLOOKUP("LULUCF|PM25|Respiratory hospital admissions", US_national_yearly!$D:$AM, 28, FALSE) / VLOOKUP("LULUCF|PM25|Respiratory hospital admissions", US_national_yearly!$D:$AM, 10, FALSE), 1)</f>
        <v>2.5910515024701683E-5</v>
      </c>
      <c r="U12" s="7">
        <f>$B12 * IFERROR(VLOOKUP("LULUCF|PM25|Respiratory hospital admissions", US_national_yearly!$D:$AM, 29, FALSE) / VLOOKUP("LULUCF|PM25|Respiratory hospital admissions", US_national_yearly!$D:$AM, 10, FALSE), 1)</f>
        <v>2.6006228034561816E-5</v>
      </c>
      <c r="V12" s="7">
        <f>$B12 * IFERROR(VLOOKUP("LULUCF|PM25|Respiratory hospital admissions", US_national_yearly!$D:$AM, 30, FALSE) / VLOOKUP("LULUCF|PM25|Respiratory hospital admissions", US_national_yearly!$D:$AM, 10, FALSE), 1)</f>
        <v>2.6101941044421949E-5</v>
      </c>
      <c r="W12" s="7">
        <f>$B12 * IFERROR(VLOOKUP("LULUCF|PM25|Respiratory hospital admissions", US_national_yearly!$D:$AM, 31, FALSE) / VLOOKUP("LULUCF|PM25|Respiratory hospital admissions", US_national_yearly!$D:$AM, 10, FALSE), 1)</f>
        <v>2.6197654054282082E-5</v>
      </c>
      <c r="X12" s="7">
        <f>$B12 * IFERROR(VLOOKUP("LULUCF|PM25|Respiratory hospital admissions", US_national_yearly!$D:$AM, 32, FALSE) / VLOOKUP("LULUCF|PM25|Respiratory hospital admissions", US_national_yearly!$D:$AM, 10, FALSE), 1)</f>
        <v>2.6289731190698973E-5</v>
      </c>
      <c r="Y12" s="7">
        <f>$B12 * IFERROR(VLOOKUP("LULUCF|PM25|Respiratory hospital admissions", US_national_yearly!$D:$AM, 33, FALSE) / VLOOKUP("LULUCF|PM25|Respiratory hospital admissions", US_national_yearly!$D:$AM, 10, FALSE), 1)</f>
        <v>2.6381808327115851E-5</v>
      </c>
      <c r="Z12" s="7">
        <f>$B12 * IFERROR(VLOOKUP("LULUCF|PM25|Respiratory hospital admissions", US_national_yearly!$D:$AM, 34, FALSE) / VLOOKUP("LULUCF|PM25|Respiratory hospital admissions", US_national_yearly!$D:$AM, 10, FALSE), 1)</f>
        <v>2.6473885463532739E-5</v>
      </c>
      <c r="AA12" s="7">
        <f>$B12 * IFERROR(VLOOKUP("LULUCF|PM25|Respiratory hospital admissions", US_national_yearly!$D:$AM, 35, FALSE) / VLOOKUP("LULUCF|PM25|Respiratory hospital admissions", US_national_yearly!$D:$AM, 10, FALSE), 1)</f>
        <v>2.6565962599949617E-5</v>
      </c>
      <c r="AB12" s="7">
        <f>$B12 * IFERROR(VLOOKUP("LULUCF|PM25|Respiratory hospital admissions", US_national_yearly!$D:$AM, 36, FALSE) / VLOOKUP("LULUCF|PM25|Respiratory hospital admissions", US_national_yearly!$D:$AM, 10, FALSE), 1)</f>
        <v>2.6658039736366505E-5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1.2713847136137062E-4</v>
      </c>
      <c r="C13" s="7">
        <f>$B13 * IFERROR(VLOOKUP("LULUCF|PM25|Non-fatal heart attacks", US_national_yearly!$D:$AM, 11, FALSE) / VLOOKUP("LULUCF|PM25|Non-fatal heart attacks", US_national_yearly!$D:$AM, 10, FALSE), 1)</f>
        <v>1.3083472411073475E-4</v>
      </c>
      <c r="D13" s="7">
        <f>$B13 * IFERROR(VLOOKUP("LULUCF|PM25|Non-fatal heart attacks", US_national_yearly!$D:$AM, 12, FALSE) / VLOOKUP("LULUCF|PM25|Non-fatal heart attacks", US_national_yearly!$D:$AM, 10, FALSE), 1)</f>
        <v>1.3453097686009889E-4</v>
      </c>
      <c r="E13" s="7">
        <f>$B13 * IFERROR(VLOOKUP("LULUCF|PM25|Non-fatal heart attacks", US_national_yearly!$D:$AM, 13, FALSE) / VLOOKUP("LULUCF|PM25|Non-fatal heart attacks", US_national_yearly!$D:$AM, 10, FALSE), 1)</f>
        <v>1.3822722960946297E-4</v>
      </c>
      <c r="F13" s="7">
        <f>$B13 * IFERROR(VLOOKUP("LULUCF|PM25|Non-fatal heart attacks", US_national_yearly!$D:$AM, 14, FALSE) / VLOOKUP("LULUCF|PM25|Non-fatal heart attacks", US_national_yearly!$D:$AM, 10, FALSE), 1)</f>
        <v>1.4192348235882713E-4</v>
      </c>
      <c r="G13" s="7">
        <f>$B13 * IFERROR(VLOOKUP("LULUCF|PM25|Non-fatal heart attacks", US_national_yearly!$D:$AM, 15, FALSE) / VLOOKUP("LULUCF|PM25|Non-fatal heart attacks", US_national_yearly!$D:$AM, 10, FALSE), 1)</f>
        <v>1.4540928237404609E-4</v>
      </c>
      <c r="H13" s="7">
        <f>$B13 * IFERROR(VLOOKUP("LULUCF|PM25|Non-fatal heart attacks", US_national_yearly!$D:$AM, 16, FALSE) / VLOOKUP("LULUCF|PM25|Non-fatal heart attacks", US_national_yearly!$D:$AM, 10, FALSE), 1)</f>
        <v>1.4889508238926502E-4</v>
      </c>
      <c r="I13" s="7">
        <f>$B13 * IFERROR(VLOOKUP("LULUCF|PM25|Non-fatal heart attacks", US_national_yearly!$D:$AM, 17, FALSE) / VLOOKUP("LULUCF|PM25|Non-fatal heart attacks", US_national_yearly!$D:$AM, 10, FALSE), 1)</f>
        <v>1.5169650568409748E-4</v>
      </c>
      <c r="J13" s="7">
        <f>$B13 * IFERROR(VLOOKUP("LULUCF|PM25|Non-fatal heart attacks", US_national_yearly!$D:$AM, 18, FALSE) / VLOOKUP("LULUCF|PM25|Non-fatal heart attacks", US_national_yearly!$D:$AM, 10, FALSE), 1)</f>
        <v>1.5449792897892994E-4</v>
      </c>
      <c r="K13" s="7">
        <f>$B13 * IFERROR(VLOOKUP("LULUCF|PM25|Non-fatal heart attacks", US_national_yearly!$D:$AM, 19, FALSE) / VLOOKUP("LULUCF|PM25|Non-fatal heart attacks", US_national_yearly!$D:$AM, 10, FALSE), 1)</f>
        <v>1.5729935227376245E-4</v>
      </c>
      <c r="L13" s="7">
        <f>$B13 * IFERROR(VLOOKUP("LULUCF|PM25|Non-fatal heart attacks", US_national_yearly!$D:$AM, 20, FALSE) / VLOOKUP("LULUCF|PM25|Non-fatal heart attacks", US_national_yearly!$D:$AM, 10, FALSE), 1)</f>
        <v>1.601007755685949E-4</v>
      </c>
      <c r="M13" s="7">
        <f>$B13 * IFERROR(VLOOKUP("LULUCF|PM25|Non-fatal heart attacks", US_national_yearly!$D:$AM, 21, FALSE) / VLOOKUP("LULUCF|PM25|Non-fatal heart attacks", US_national_yearly!$D:$AM, 10, FALSE), 1)</f>
        <v>1.6290219886342741E-4</v>
      </c>
      <c r="N13" s="7">
        <f>$B13 * IFERROR(VLOOKUP("LULUCF|PM25|Non-fatal heart attacks", US_national_yearly!$D:$AM, 22, FALSE) / VLOOKUP("LULUCF|PM25|Non-fatal heart attacks", US_national_yearly!$D:$AM, 10, FALSE), 1)</f>
        <v>1.6470884026070732E-4</v>
      </c>
      <c r="O13" s="7">
        <f>$B13 * IFERROR(VLOOKUP("LULUCF|PM25|Non-fatal heart attacks", US_national_yearly!$D:$AM, 23, FALSE) / VLOOKUP("LULUCF|PM25|Non-fatal heart attacks", US_national_yearly!$D:$AM, 10, FALSE), 1)</f>
        <v>1.6651548165798729E-4</v>
      </c>
      <c r="P13" s="7">
        <f>$B13 * IFERROR(VLOOKUP("LULUCF|PM25|Non-fatal heart attacks", US_national_yearly!$D:$AM, 24, FALSE) / VLOOKUP("LULUCF|PM25|Non-fatal heart attacks", US_national_yearly!$D:$AM, 10, FALSE), 1)</f>
        <v>1.6832212305526722E-4</v>
      </c>
      <c r="Q13" s="7">
        <f>$B13 * IFERROR(VLOOKUP("LULUCF|PM25|Non-fatal heart attacks", US_national_yearly!$D:$AM, 25, FALSE) / VLOOKUP("LULUCF|PM25|Non-fatal heart attacks", US_national_yearly!$D:$AM, 10, FALSE), 1)</f>
        <v>1.7012876445254716E-4</v>
      </c>
      <c r="R13" s="7">
        <f>$B13 * IFERROR(VLOOKUP("LULUCF|PM25|Non-fatal heart attacks", US_national_yearly!$D:$AM, 26, FALSE) / VLOOKUP("LULUCF|PM25|Non-fatal heart attacks", US_national_yearly!$D:$AM, 10, FALSE), 1)</f>
        <v>1.7193540584982709E-4</v>
      </c>
      <c r="S13" s="7">
        <f>$B13 * IFERROR(VLOOKUP("LULUCF|PM25|Non-fatal heart attacks", US_national_yearly!$D:$AM, 27, FALSE) / VLOOKUP("LULUCF|PM25|Non-fatal heart attacks", US_national_yearly!$D:$AM, 10, FALSE), 1)</f>
        <v>1.7288683482498551E-4</v>
      </c>
      <c r="T13" s="7">
        <f>$B13 * IFERROR(VLOOKUP("LULUCF|PM25|Non-fatal heart attacks", US_national_yearly!$D:$AM, 28, FALSE) / VLOOKUP("LULUCF|PM25|Non-fatal heart attacks", US_national_yearly!$D:$AM, 10, FALSE), 1)</f>
        <v>1.7383826380014397E-4</v>
      </c>
      <c r="U13" s="7">
        <f>$B13 * IFERROR(VLOOKUP("LULUCF|PM25|Non-fatal heart attacks", US_national_yearly!$D:$AM, 29, FALSE) / VLOOKUP("LULUCF|PM25|Non-fatal heart attacks", US_national_yearly!$D:$AM, 10, FALSE), 1)</f>
        <v>1.7478969277530244E-4</v>
      </c>
      <c r="V13" s="7">
        <f>$B13 * IFERROR(VLOOKUP("LULUCF|PM25|Non-fatal heart attacks", US_national_yearly!$D:$AM, 30, FALSE) / VLOOKUP("LULUCF|PM25|Non-fatal heart attacks", US_national_yearly!$D:$AM, 10, FALSE), 1)</f>
        <v>1.7574112175046088E-4</v>
      </c>
      <c r="W13" s="7">
        <f>$B13 * IFERROR(VLOOKUP("LULUCF|PM25|Non-fatal heart attacks", US_national_yearly!$D:$AM, 31, FALSE) / VLOOKUP("LULUCF|PM25|Non-fatal heart attacks", US_national_yearly!$D:$AM, 10, FALSE), 1)</f>
        <v>1.7669255072561932E-4</v>
      </c>
      <c r="X13" s="7">
        <f>$B13 * IFERROR(VLOOKUP("LULUCF|PM25|Non-fatal heart attacks", US_national_yearly!$D:$AM, 32, FALSE) / VLOOKUP("LULUCF|PM25|Non-fatal heart attacks", US_national_yearly!$D:$AM, 10, FALSE), 1)</f>
        <v>1.7741482289156696E-4</v>
      </c>
      <c r="Y13" s="7">
        <f>$B13 * IFERROR(VLOOKUP("LULUCF|PM25|Non-fatal heart attacks", US_national_yearly!$D:$AM, 33, FALSE) / VLOOKUP("LULUCF|PM25|Non-fatal heart attacks", US_national_yearly!$D:$AM, 10, FALSE), 1)</f>
        <v>1.7813709505751465E-4</v>
      </c>
      <c r="Z13" s="7">
        <f>$B13 * IFERROR(VLOOKUP("LULUCF|PM25|Non-fatal heart attacks", US_national_yearly!$D:$AM, 34, FALSE) / VLOOKUP("LULUCF|PM25|Non-fatal heart attacks", US_national_yearly!$D:$AM, 10, FALSE), 1)</f>
        <v>1.7885936722346229E-4</v>
      </c>
      <c r="AA13" s="7">
        <f>$B13 * IFERROR(VLOOKUP("LULUCF|PM25|Non-fatal heart attacks", US_national_yearly!$D:$AM, 35, FALSE) / VLOOKUP("LULUCF|PM25|Non-fatal heart attacks", US_national_yearly!$D:$AM, 10, FALSE), 1)</f>
        <v>1.7958163938940996E-4</v>
      </c>
      <c r="AB13" s="7">
        <f>$B13 * IFERROR(VLOOKUP("LULUCF|PM25|Non-fatal heart attacks", US_national_yearly!$D:$AM, 36, FALSE) / VLOOKUP("LULUCF|PM25|Non-fatal heart attacks", US_national_yearly!$D:$AM, 10, FALSE), 1)</f>
        <v>1.803039115553576E-4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9.6884846494438848E-2</v>
      </c>
      <c r="C14" s="7">
        <f>$B14 * IFERROR(VLOOKUP("LULUCF|PM25|Minor restricted activity days", US_national_yearly!$D:$AM, 11, FALSE) / VLOOKUP("LULUCF|PM25|Minor restricted activity days", US_national_yearly!$D:$AM, 10, FALSE), 1)</f>
        <v>9.7121450779237839E-2</v>
      </c>
      <c r="D14" s="7">
        <f>$B14 * IFERROR(VLOOKUP("LULUCF|PM25|Minor restricted activity days", US_national_yearly!$D:$AM, 12, FALSE) / VLOOKUP("LULUCF|PM25|Minor restricted activity days", US_national_yearly!$D:$AM, 10, FALSE), 1)</f>
        <v>9.7358055064036844E-2</v>
      </c>
      <c r="E14" s="7">
        <f>$B14 * IFERROR(VLOOKUP("LULUCF|PM25|Minor restricted activity days", US_national_yearly!$D:$AM, 13, FALSE) / VLOOKUP("LULUCF|PM25|Minor restricted activity days", US_national_yearly!$D:$AM, 10, FALSE), 1)</f>
        <v>9.7594659348835849E-2</v>
      </c>
      <c r="F14" s="7">
        <f>$B14 * IFERROR(VLOOKUP("LULUCF|PM25|Minor restricted activity days", US_national_yearly!$D:$AM, 14, FALSE) / VLOOKUP("LULUCF|PM25|Minor restricted activity days", US_national_yearly!$D:$AM, 10, FALSE), 1)</f>
        <v>9.7831263633634827E-2</v>
      </c>
      <c r="G14" s="7">
        <f>$B14 * IFERROR(VLOOKUP("LULUCF|PM25|Minor restricted activity days", US_national_yearly!$D:$AM, 15, FALSE) / VLOOKUP("LULUCF|PM25|Minor restricted activity days", US_national_yearly!$D:$AM, 10, FALSE), 1)</f>
        <v>9.8180366174903125E-2</v>
      </c>
      <c r="H14" s="7">
        <f>$B14 * IFERROR(VLOOKUP("LULUCF|PM25|Minor restricted activity days", US_national_yearly!$D:$AM, 16, FALSE) / VLOOKUP("LULUCF|PM25|Minor restricted activity days", US_national_yearly!$D:$AM, 10, FALSE), 1)</f>
        <v>9.8529468716171423E-2</v>
      </c>
      <c r="I14" s="7">
        <f>$B14 * IFERROR(VLOOKUP("LULUCF|PM25|Minor restricted activity days", US_national_yearly!$D:$AM, 17, FALSE) / VLOOKUP("LULUCF|PM25|Minor restricted activity days", US_national_yearly!$D:$AM, 10, FALSE), 1)</f>
        <v>9.91262741975035E-2</v>
      </c>
      <c r="J14" s="7">
        <f>$B14 * IFERROR(VLOOKUP("LULUCF|PM25|Minor restricted activity days", US_national_yearly!$D:$AM, 18, FALSE) / VLOOKUP("LULUCF|PM25|Minor restricted activity days", US_national_yearly!$D:$AM, 10, FALSE), 1)</f>
        <v>9.9723079678835536E-2</v>
      </c>
      <c r="K14" s="7">
        <f>$B14 * IFERROR(VLOOKUP("LULUCF|PM25|Minor restricted activity days", US_national_yearly!$D:$AM, 19, FALSE) / VLOOKUP("LULUCF|PM25|Minor restricted activity days", US_national_yearly!$D:$AM, 10, FALSE), 1)</f>
        <v>0.10031988516016763</v>
      </c>
      <c r="L14" s="7">
        <f>$B14 * IFERROR(VLOOKUP("LULUCF|PM25|Minor restricted activity days", US_national_yearly!$D:$AM, 20, FALSE) / VLOOKUP("LULUCF|PM25|Minor restricted activity days", US_national_yearly!$D:$AM, 10, FALSE), 1)</f>
        <v>0.10091669064149968</v>
      </c>
      <c r="M14" s="7">
        <f>$B14 * IFERROR(VLOOKUP("LULUCF|PM25|Minor restricted activity days", US_national_yearly!$D:$AM, 21, FALSE) / VLOOKUP("LULUCF|PM25|Minor restricted activity days", US_national_yearly!$D:$AM, 10, FALSE), 1)</f>
        <v>0.10151349612283174</v>
      </c>
      <c r="N14" s="7">
        <f>$B14 * IFERROR(VLOOKUP("LULUCF|PM25|Minor restricted activity days", US_national_yearly!$D:$AM, 22, FALSE) / VLOOKUP("LULUCF|PM25|Minor restricted activity days", US_national_yearly!$D:$AM, 10, FALSE), 1)</f>
        <v>0.10232646401216602</v>
      </c>
      <c r="O14" s="7">
        <f>$B14 * IFERROR(VLOOKUP("LULUCF|PM25|Minor restricted activity days", US_national_yearly!$D:$AM, 23, FALSE) / VLOOKUP("LULUCF|PM25|Minor restricted activity days", US_national_yearly!$D:$AM, 10, FALSE), 1)</f>
        <v>0.10313943190150029</v>
      </c>
      <c r="P14" s="7">
        <f>$B14 * IFERROR(VLOOKUP("LULUCF|PM25|Minor restricted activity days", US_national_yearly!$D:$AM, 24, FALSE) / VLOOKUP("LULUCF|PM25|Minor restricted activity days", US_national_yearly!$D:$AM, 10, FALSE), 1)</f>
        <v>0.10395239979083458</v>
      </c>
      <c r="Q14" s="7">
        <f>$B14 * IFERROR(VLOOKUP("LULUCF|PM25|Minor restricted activity days", US_national_yearly!$D:$AM, 25, FALSE) / VLOOKUP("LULUCF|PM25|Minor restricted activity days", US_national_yearly!$D:$AM, 10, FALSE), 1)</f>
        <v>0.10476536768016885</v>
      </c>
      <c r="R14" s="7">
        <f>$B14 * IFERROR(VLOOKUP("LULUCF|PM25|Minor restricted activity days", US_national_yearly!$D:$AM, 26, FALSE) / VLOOKUP("LULUCF|PM25|Minor restricted activity days", US_national_yearly!$D:$AM, 10, FALSE), 1)</f>
        <v>0.10557833556950312</v>
      </c>
      <c r="S14" s="7">
        <f>$B14 * IFERROR(VLOOKUP("LULUCF|PM25|Minor restricted activity days", US_national_yearly!$D:$AM, 27, FALSE) / VLOOKUP("LULUCF|PM25|Minor restricted activity days", US_national_yearly!$D:$AM, 10, FALSE), 1)</f>
        <v>0.10639690210229841</v>
      </c>
      <c r="T14" s="7">
        <f>$B14 * IFERROR(VLOOKUP("LULUCF|PM25|Minor restricted activity days", US_national_yearly!$D:$AM, 28, FALSE) / VLOOKUP("LULUCF|PM25|Minor restricted activity days", US_national_yearly!$D:$AM, 10, FALSE), 1)</f>
        <v>0.10721546863509371</v>
      </c>
      <c r="U14" s="7">
        <f>$B14 * IFERROR(VLOOKUP("LULUCF|PM25|Minor restricted activity days", US_national_yearly!$D:$AM, 29, FALSE) / VLOOKUP("LULUCF|PM25|Minor restricted activity days", US_national_yearly!$D:$AM, 10, FALSE), 1)</f>
        <v>0.10803403516788899</v>
      </c>
      <c r="V14" s="7">
        <f>$B14 * IFERROR(VLOOKUP("LULUCF|PM25|Minor restricted activity days", US_national_yearly!$D:$AM, 30, FALSE) / VLOOKUP("LULUCF|PM25|Minor restricted activity days", US_national_yearly!$D:$AM, 10, FALSE), 1)</f>
        <v>0.1088526017006843</v>
      </c>
      <c r="W14" s="7">
        <f>$B14 * IFERROR(VLOOKUP("LULUCF|PM25|Minor restricted activity days", US_national_yearly!$D:$AM, 31, FALSE) / VLOOKUP("LULUCF|PM25|Minor restricted activity days", US_national_yearly!$D:$AM, 10, FALSE), 1)</f>
        <v>0.1096711682334796</v>
      </c>
      <c r="X14" s="7">
        <f>$B14 * IFERROR(VLOOKUP("LULUCF|PM25|Minor restricted activity days", US_national_yearly!$D:$AM, 32, FALSE) / VLOOKUP("LULUCF|PM25|Minor restricted activity days", US_national_yearly!$D:$AM, 10, FALSE), 1)</f>
        <v>0.1103817663333059</v>
      </c>
      <c r="Y14" s="7">
        <f>$B14 * IFERROR(VLOOKUP("LULUCF|PM25|Minor restricted activity days", US_national_yearly!$D:$AM, 33, FALSE) / VLOOKUP("LULUCF|PM25|Minor restricted activity days", US_national_yearly!$D:$AM, 10, FALSE), 1)</f>
        <v>0.11109236443313221</v>
      </c>
      <c r="Z14" s="7">
        <f>$B14 * IFERROR(VLOOKUP("LULUCF|PM25|Minor restricted activity days", US_national_yearly!$D:$AM, 34, FALSE) / VLOOKUP("LULUCF|PM25|Minor restricted activity days", US_national_yearly!$D:$AM, 10, FALSE), 1)</f>
        <v>0.11180296253295852</v>
      </c>
      <c r="AA14" s="7">
        <f>$B14 * IFERROR(VLOOKUP("LULUCF|PM25|Minor restricted activity days", US_national_yearly!$D:$AM, 35, FALSE) / VLOOKUP("LULUCF|PM25|Minor restricted activity days", US_national_yearly!$D:$AM, 10, FALSE), 1)</f>
        <v>0.1125135606327848</v>
      </c>
      <c r="AB14" s="7">
        <f>$B14 * IFERROR(VLOOKUP("LULUCF|PM25|Minor restricted activity days", US_national_yearly!$D:$AM, 36, FALSE) / VLOOKUP("LULUCF|PM25|Minor restricted activity days", US_national_yearly!$D:$AM, 10, FALSE), 1)</f>
        <v>0.1132241587326111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1.6400130237267472E-2</v>
      </c>
      <c r="C15" s="7">
        <f>$B15 * IFERROR(VLOOKUP("LULUCF|PM25|Work loss days", US_national_yearly!$D:$AM, 11, FALSE) / VLOOKUP("LULUCF|PM25|Work loss days", US_national_yearly!$D:$AM, 10, FALSE), 1)</f>
        <v>1.6450964734155051E-2</v>
      </c>
      <c r="D15" s="7">
        <f>$B15 * IFERROR(VLOOKUP("LULUCF|PM25|Work loss days", US_national_yearly!$D:$AM, 12, FALSE) / VLOOKUP("LULUCF|PM25|Work loss days", US_national_yearly!$D:$AM, 10, FALSE), 1)</f>
        <v>1.6501799231042634E-2</v>
      </c>
      <c r="E15" s="7">
        <f>$B15 * IFERROR(VLOOKUP("LULUCF|PM25|Work loss days", US_national_yearly!$D:$AM, 13, FALSE) / VLOOKUP("LULUCF|PM25|Work loss days", US_national_yearly!$D:$AM, 10, FALSE), 1)</f>
        <v>1.655263372793021E-2</v>
      </c>
      <c r="F15" s="7">
        <f>$B15 * IFERROR(VLOOKUP("LULUCF|PM25|Work loss days", US_national_yearly!$D:$AM, 14, FALSE) / VLOOKUP("LULUCF|PM25|Work loss days", US_national_yearly!$D:$AM, 10, FALSE), 1)</f>
        <v>1.6603468224817789E-2</v>
      </c>
      <c r="G15" s="7">
        <f>$B15 * IFERROR(VLOOKUP("LULUCF|PM25|Work loss days", US_national_yearly!$D:$AM, 15, FALSE) / VLOOKUP("LULUCF|PM25|Work loss days", US_national_yearly!$D:$AM, 10, FALSE), 1)</f>
        <v>1.6670115494035406E-2</v>
      </c>
      <c r="H15" s="7">
        <f>$B15 * IFERROR(VLOOKUP("LULUCF|PM25|Work loss days", US_national_yearly!$D:$AM, 16, FALSE) / VLOOKUP("LULUCF|PM25|Work loss days", US_national_yearly!$D:$AM, 10, FALSE), 1)</f>
        <v>1.6736762763253029E-2</v>
      </c>
      <c r="I15" s="7">
        <f>$B15 * IFERROR(VLOOKUP("LULUCF|PM25|Work loss days", US_national_yearly!$D:$AM, 17, FALSE) / VLOOKUP("LULUCF|PM25|Work loss days", US_national_yearly!$D:$AM, 10, FALSE), 1)</f>
        <v>1.6834908197369738E-2</v>
      </c>
      <c r="J15" s="7">
        <f>$B15 * IFERROR(VLOOKUP("LULUCF|PM25|Work loss days", US_national_yearly!$D:$AM, 18, FALSE) / VLOOKUP("LULUCF|PM25|Work loss days", US_national_yearly!$D:$AM, 10, FALSE), 1)</f>
        <v>1.6933053631486446E-2</v>
      </c>
      <c r="K15" s="7">
        <f>$B15 * IFERROR(VLOOKUP("LULUCF|PM25|Work loss days", US_national_yearly!$D:$AM, 19, FALSE) / VLOOKUP("LULUCF|PM25|Work loss days", US_national_yearly!$D:$AM, 10, FALSE), 1)</f>
        <v>1.7031199065603155E-2</v>
      </c>
      <c r="L15" s="7">
        <f>$B15 * IFERROR(VLOOKUP("LULUCF|PM25|Work loss days", US_national_yearly!$D:$AM, 20, FALSE) / VLOOKUP("LULUCF|PM25|Work loss days", US_national_yearly!$D:$AM, 10, FALSE), 1)</f>
        <v>1.7129344499719864E-2</v>
      </c>
      <c r="M15" s="7">
        <f>$B15 * IFERROR(VLOOKUP("LULUCF|PM25|Work loss days", US_national_yearly!$D:$AM, 21, FALSE) / VLOOKUP("LULUCF|PM25|Work loss days", US_national_yearly!$D:$AM, 10, FALSE), 1)</f>
        <v>1.7227489933836573E-2</v>
      </c>
      <c r="N15" s="7">
        <f>$B15 * IFERROR(VLOOKUP("LULUCF|PM25|Work loss days", US_national_yearly!$D:$AM, 22, FALSE) / VLOOKUP("LULUCF|PM25|Work loss days", US_national_yearly!$D:$AM, 10, FALSE), 1)</f>
        <v>1.7351013391182689E-2</v>
      </c>
      <c r="O15" s="7">
        <f>$B15 * IFERROR(VLOOKUP("LULUCF|PM25|Work loss days", US_national_yearly!$D:$AM, 23, FALSE) / VLOOKUP("LULUCF|PM25|Work loss days", US_national_yearly!$D:$AM, 10, FALSE), 1)</f>
        <v>1.7474536848528805E-2</v>
      </c>
      <c r="P15" s="7">
        <f>$B15 * IFERROR(VLOOKUP("LULUCF|PM25|Work loss days", US_national_yearly!$D:$AM, 24, FALSE) / VLOOKUP("LULUCF|PM25|Work loss days", US_national_yearly!$D:$AM, 10, FALSE), 1)</f>
        <v>1.7598060305874921E-2</v>
      </c>
      <c r="Q15" s="7">
        <f>$B15 * IFERROR(VLOOKUP("LULUCF|PM25|Work loss days", US_national_yearly!$D:$AM, 25, FALSE) / VLOOKUP("LULUCF|PM25|Work loss days", US_national_yearly!$D:$AM, 10, FALSE), 1)</f>
        <v>1.7721583763221038E-2</v>
      </c>
      <c r="R15" s="7">
        <f>$B15 * IFERROR(VLOOKUP("LULUCF|PM25|Work loss days", US_national_yearly!$D:$AM, 26, FALSE) / VLOOKUP("LULUCF|PM25|Work loss days", US_national_yearly!$D:$AM, 10, FALSE), 1)</f>
        <v>1.7845107220567154E-2</v>
      </c>
      <c r="S15" s="7">
        <f>$B15 * IFERROR(VLOOKUP("LULUCF|PM25|Work loss days", US_national_yearly!$D:$AM, 27, FALSE) / VLOOKUP("LULUCF|PM25|Work loss days", US_national_yearly!$D:$AM, 10, FALSE), 1)</f>
        <v>1.7981729438034891E-2</v>
      </c>
      <c r="T15" s="7">
        <f>$B15 * IFERROR(VLOOKUP("LULUCF|PM25|Work loss days", US_national_yearly!$D:$AM, 28, FALSE) / VLOOKUP("LULUCF|PM25|Work loss days", US_national_yearly!$D:$AM, 10, FALSE), 1)</f>
        <v>1.8118351655502633E-2</v>
      </c>
      <c r="U15" s="7">
        <f>$B15 * IFERROR(VLOOKUP("LULUCF|PM25|Work loss days", US_national_yearly!$D:$AM, 29, FALSE) / VLOOKUP("LULUCF|PM25|Work loss days", US_national_yearly!$D:$AM, 10, FALSE), 1)</f>
        <v>1.8254973872970363E-2</v>
      </c>
      <c r="V15" s="7">
        <f>$B15 * IFERROR(VLOOKUP("LULUCF|PM25|Work loss days", US_national_yearly!$D:$AM, 30, FALSE) / VLOOKUP("LULUCF|PM25|Work loss days", US_national_yearly!$D:$AM, 10, FALSE), 1)</f>
        <v>1.8391596090438105E-2</v>
      </c>
      <c r="W15" s="7">
        <f>$B15 * IFERROR(VLOOKUP("LULUCF|PM25|Work loss days", US_national_yearly!$D:$AM, 31, FALSE) / VLOOKUP("LULUCF|PM25|Work loss days", US_national_yearly!$D:$AM, 10, FALSE), 1)</f>
        <v>1.8528218307905842E-2</v>
      </c>
      <c r="X15" s="7">
        <f>$B15 * IFERROR(VLOOKUP("LULUCF|PM25|Work loss days", US_national_yearly!$D:$AM, 32, FALSE) / VLOOKUP("LULUCF|PM25|Work loss days", US_national_yearly!$D:$AM, 10, FALSE), 1)</f>
        <v>1.8649439062306674E-2</v>
      </c>
      <c r="Y15" s="7">
        <f>$B15 * IFERROR(VLOOKUP("LULUCF|PM25|Work loss days", US_national_yearly!$D:$AM, 33, FALSE) / VLOOKUP("LULUCF|PM25|Work loss days", US_national_yearly!$D:$AM, 10, FALSE), 1)</f>
        <v>1.8770659816707506E-2</v>
      </c>
      <c r="Z15" s="7">
        <f>$B15 * IFERROR(VLOOKUP("LULUCF|PM25|Work loss days", US_national_yearly!$D:$AM, 34, FALSE) / VLOOKUP("LULUCF|PM25|Work loss days", US_national_yearly!$D:$AM, 10, FALSE), 1)</f>
        <v>1.8891880571108344E-2</v>
      </c>
      <c r="AA15" s="7">
        <f>$B15 * IFERROR(VLOOKUP("LULUCF|PM25|Work loss days", US_national_yearly!$D:$AM, 35, FALSE) / VLOOKUP("LULUCF|PM25|Work loss days", US_national_yearly!$D:$AM, 10, FALSE), 1)</f>
        <v>1.901310132550918E-2</v>
      </c>
      <c r="AB15" s="7">
        <f>$B15 * IFERROR(VLOOKUP("LULUCF|PM25|Work loss days", US_national_yearly!$D:$AM, 36, FALSE) / VLOOKUP("LULUCF|PM25|Work loss days", US_national_yearly!$D:$AM, 10, FALSE), 1)</f>
        <v>1.9134322079910011E-2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3.0010739838640654E-5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3.0907481672013995E-5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3.1804223505387337E-5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3.2700965338760685E-5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3.3597707172134026E-5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3.4456625666425939E-5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3.5315544160717872E-5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3.6050138413552025E-5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3.6784732666386164E-5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3.751932691922031E-5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3.8253921172054469E-5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3.8988515424888608E-5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3.9478286185019236E-5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3.996805694514987E-5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4.0457827705280497E-5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4.0947598465411125E-5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4.1437369225541752E-5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4.1696503683172463E-5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4.1955638140803167E-5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4.2214772598433864E-5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4.2473907056064568E-5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4.2733041513695272E-5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4.2907494239219173E-5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4.3081946964743074E-5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4.3256399690266981E-5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4.3430852415790883E-5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4.3605305141314784E-5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2.9461953651268788E-4</v>
      </c>
      <c r="C2" s="7">
        <f>$B2 * IFERROR(VLOOKUP("LULUCF|NOx|Premature mortality", US_national_yearly!$D:$AM, 11, FALSE) / VLOOKUP("LULUCF|NOx|Premature mortality", US_national_yearly!$D:$AM, 10, FALSE), 1)</f>
        <v>2.9894699952242345E-4</v>
      </c>
      <c r="D2" s="7">
        <f>$B2 * IFERROR(VLOOKUP("LULUCF|NOx|Premature mortality", US_national_yearly!$D:$AM, 12, FALSE) / VLOOKUP("LULUCF|NOx|Premature mortality", US_national_yearly!$D:$AM, 10, FALSE), 1)</f>
        <v>3.0327446253215892E-4</v>
      </c>
      <c r="E2" s="7">
        <f>$B2 * IFERROR(VLOOKUP("LULUCF|NOx|Premature mortality", US_national_yearly!$D:$AM, 13, FALSE) / VLOOKUP("LULUCF|NOx|Premature mortality", US_national_yearly!$D:$AM, 10, FALSE), 1)</f>
        <v>3.0760192554189449E-4</v>
      </c>
      <c r="F2" s="7">
        <f>$B2 * IFERROR(VLOOKUP("LULUCF|NOx|Premature mortality", US_national_yearly!$D:$AM, 14, FALSE) / VLOOKUP("LULUCF|NOx|Premature mortality", US_national_yearly!$D:$AM, 10, FALSE), 1)</f>
        <v>3.1192938855163007E-4</v>
      </c>
      <c r="G2" s="7">
        <f>$B2 * IFERROR(VLOOKUP("LULUCF|NOx|Premature mortality", US_national_yearly!$D:$AM, 15, FALSE) / VLOOKUP("LULUCF|NOx|Premature mortality", US_national_yearly!$D:$AM, 10, FALSE), 1)</f>
        <v>3.1970253523411392E-4</v>
      </c>
      <c r="H2" s="7">
        <f>$B2 * IFERROR(VLOOKUP("LULUCF|NOx|Premature mortality", US_national_yearly!$D:$AM, 16, FALSE) / VLOOKUP("LULUCF|NOx|Premature mortality", US_national_yearly!$D:$AM, 10, FALSE), 1)</f>
        <v>3.2747568191659793E-4</v>
      </c>
      <c r="I2" s="7">
        <f>$B2 * IFERROR(VLOOKUP("LULUCF|NOx|Premature mortality", US_national_yearly!$D:$AM, 17, FALSE) / VLOOKUP("LULUCF|NOx|Premature mortality", US_national_yearly!$D:$AM, 10, FALSE), 1)</f>
        <v>3.3249339554612342E-4</v>
      </c>
      <c r="J2" s="7">
        <f>$B2 * IFERROR(VLOOKUP("LULUCF|NOx|Premature mortality", US_national_yearly!$D:$AM, 18, FALSE) / VLOOKUP("LULUCF|NOx|Premature mortality", US_national_yearly!$D:$AM, 10, FALSE), 1)</f>
        <v>3.3751110917564902E-4</v>
      </c>
      <c r="K2" s="7">
        <f>$B2 * IFERROR(VLOOKUP("LULUCF|NOx|Premature mortality", US_national_yearly!$D:$AM, 19, FALSE) / VLOOKUP("LULUCF|NOx|Premature mortality", US_national_yearly!$D:$AM, 10, FALSE), 1)</f>
        <v>3.4252882280517456E-4</v>
      </c>
      <c r="L2" s="7">
        <f>$B2 * IFERROR(VLOOKUP("LULUCF|NOx|Premature mortality", US_national_yearly!$D:$AM, 20, FALSE) / VLOOKUP("LULUCF|NOx|Premature mortality", US_national_yearly!$D:$AM, 10, FALSE), 1)</f>
        <v>3.4754653643470006E-4</v>
      </c>
      <c r="M2" s="7">
        <f>$B2 * IFERROR(VLOOKUP("LULUCF|NOx|Premature mortality", US_national_yearly!$D:$AM, 21, FALSE) / VLOOKUP("LULUCF|NOx|Premature mortality", US_national_yearly!$D:$AM, 10, FALSE), 1)</f>
        <v>3.5256425006422565E-4</v>
      </c>
      <c r="N2" s="7">
        <f>$B2 * IFERROR(VLOOKUP("LULUCF|NOx|Premature mortality", US_national_yearly!$D:$AM, 22, FALSE) / VLOOKUP("LULUCF|NOx|Premature mortality", US_national_yearly!$D:$AM, 10, FALSE), 1)</f>
        <v>3.5628135281439718E-4</v>
      </c>
      <c r="O2" s="7">
        <f>$B2 * IFERROR(VLOOKUP("LULUCF|NOx|Premature mortality", US_national_yearly!$D:$AM, 23, FALSE) / VLOOKUP("LULUCF|NOx|Premature mortality", US_national_yearly!$D:$AM, 10, FALSE), 1)</f>
        <v>3.599984555645687E-4</v>
      </c>
      <c r="P2" s="7">
        <f>$B2 * IFERROR(VLOOKUP("LULUCF|NOx|Premature mortality", US_national_yearly!$D:$AM, 24, FALSE) / VLOOKUP("LULUCF|NOx|Premature mortality", US_national_yearly!$D:$AM, 10, FALSE), 1)</f>
        <v>3.6371555831474022E-4</v>
      </c>
      <c r="Q2" s="7">
        <f>$B2 * IFERROR(VLOOKUP("LULUCF|NOx|Premature mortality", US_national_yearly!$D:$AM, 25, FALSE) / VLOOKUP("LULUCF|NOx|Premature mortality", US_national_yearly!$D:$AM, 10, FALSE), 1)</f>
        <v>3.674326610649118E-4</v>
      </c>
      <c r="R2" s="7">
        <f>$B2 * IFERROR(VLOOKUP("LULUCF|NOx|Premature mortality", US_national_yearly!$D:$AM, 26, FALSE) / VLOOKUP("LULUCF|NOx|Premature mortality", US_national_yearly!$D:$AM, 10, FALSE), 1)</f>
        <v>3.7114976381508332E-4</v>
      </c>
      <c r="S2" s="7">
        <f>$B2 * IFERROR(VLOOKUP("LULUCF|NOx|Premature mortality", US_national_yearly!$D:$AM, 27, FALSE) / VLOOKUP("LULUCF|NOx|Premature mortality", US_national_yearly!$D:$AM, 10, FALSE), 1)</f>
        <v>3.7283922444576354E-4</v>
      </c>
      <c r="T2" s="7">
        <f>$B2 * IFERROR(VLOOKUP("LULUCF|NOx|Premature mortality", US_national_yearly!$D:$AM, 28, FALSE) / VLOOKUP("LULUCF|NOx|Premature mortality", US_national_yearly!$D:$AM, 10, FALSE), 1)</f>
        <v>3.7452868507644382E-4</v>
      </c>
      <c r="U2" s="7">
        <f>$B2 * IFERROR(VLOOKUP("LULUCF|NOx|Premature mortality", US_national_yearly!$D:$AM, 29, FALSE) / VLOOKUP("LULUCF|NOx|Premature mortality", US_national_yearly!$D:$AM, 10, FALSE), 1)</f>
        <v>3.7621814570712404E-4</v>
      </c>
      <c r="V2" s="7">
        <f>$B2 * IFERROR(VLOOKUP("LULUCF|NOx|Premature mortality", US_national_yearly!$D:$AM, 30, FALSE) / VLOOKUP("LULUCF|NOx|Premature mortality", US_national_yearly!$D:$AM, 10, FALSE), 1)</f>
        <v>3.7790760633780426E-4</v>
      </c>
      <c r="W2" s="7">
        <f>$B2 * IFERROR(VLOOKUP("LULUCF|NOx|Premature mortality", US_national_yearly!$D:$AM, 31, FALSE) / VLOOKUP("LULUCF|NOx|Premature mortality", US_national_yearly!$D:$AM, 10, FALSE), 1)</f>
        <v>3.7959706696848454E-4</v>
      </c>
      <c r="X2" s="7">
        <f>$B2 * IFERROR(VLOOKUP("LULUCF|NOx|Premature mortality", US_national_yearly!$D:$AM, 32, FALSE) / VLOOKUP("LULUCF|NOx|Premature mortality", US_national_yearly!$D:$AM, 10, FALSE), 1)</f>
        <v>3.7965558891497317E-4</v>
      </c>
      <c r="Y2" s="7">
        <f>$B2 * IFERROR(VLOOKUP("LULUCF|NOx|Premature mortality", US_national_yearly!$D:$AM, 33, FALSE) / VLOOKUP("LULUCF|NOx|Premature mortality", US_national_yearly!$D:$AM, 10, FALSE), 1)</f>
        <v>3.7971411086146179E-4</v>
      </c>
      <c r="Z2" s="7">
        <f>$B2 * IFERROR(VLOOKUP("LULUCF|NOx|Premature mortality", US_national_yearly!$D:$AM, 34, FALSE) / VLOOKUP("LULUCF|NOx|Premature mortality", US_national_yearly!$D:$AM, 10, FALSE), 1)</f>
        <v>3.7977263280795031E-4</v>
      </c>
      <c r="AA2" s="7">
        <f>$B2 * IFERROR(VLOOKUP("LULUCF|NOx|Premature mortality", US_national_yearly!$D:$AM, 35, FALSE) / VLOOKUP("LULUCF|NOx|Premature mortality", US_national_yearly!$D:$AM, 10, FALSE), 1)</f>
        <v>3.7983115475443899E-4</v>
      </c>
      <c r="AB2" s="7">
        <f>$B2 * IFERROR(VLOOKUP("LULUCF|NOx|Premature mortality", US_national_yearly!$D:$AM, 36, FALSE) / VLOOKUP("LULUCF|NOx|Premature mortality", US_national_yearly!$D:$AM, 10, FALSE), 1)</f>
        <v>3.7988967670092761E-4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4.5533565584450081E-7</v>
      </c>
      <c r="C3" s="7">
        <f>$B3 * IFERROR(VLOOKUP("LULUCF|NOx|Infant mortality", US_national_yearly!$D:$AM, 11, FALSE) / VLOOKUP("LULUCF|NOx|Infant mortality", US_national_yearly!$D:$AM, 10, FALSE), 1)</f>
        <v>4.5099742345333746E-7</v>
      </c>
      <c r="D3" s="7">
        <f>$B3 * IFERROR(VLOOKUP("LULUCF|NOx|Infant mortality", US_national_yearly!$D:$AM, 12, FALSE) / VLOOKUP("LULUCF|NOx|Infant mortality", US_national_yearly!$D:$AM, 10, FALSE), 1)</f>
        <v>4.46659191062174E-7</v>
      </c>
      <c r="E3" s="7">
        <f>$B3 * IFERROR(VLOOKUP("LULUCF|NOx|Infant mortality", US_national_yearly!$D:$AM, 13, FALSE) / VLOOKUP("LULUCF|NOx|Infant mortality", US_national_yearly!$D:$AM, 10, FALSE), 1)</f>
        <v>4.4232095867101065E-7</v>
      </c>
      <c r="F3" s="7">
        <f>$B3 * IFERROR(VLOOKUP("LULUCF|NOx|Infant mortality", US_national_yearly!$D:$AM, 14, FALSE) / VLOOKUP("LULUCF|NOx|Infant mortality", US_national_yearly!$D:$AM, 10, FALSE), 1)</f>
        <v>4.3798272627984724E-7</v>
      </c>
      <c r="G3" s="7">
        <f>$B3 * IFERROR(VLOOKUP("LULUCF|NOx|Infant mortality", US_national_yearly!$D:$AM, 15, FALSE) / VLOOKUP("LULUCF|NOx|Infant mortality", US_national_yearly!$D:$AM, 10, FALSE), 1)</f>
        <v>2.9075456172196743E-7</v>
      </c>
      <c r="H3" s="7">
        <f>$B3 * IFERROR(VLOOKUP("LULUCF|NOx|Infant mortality", US_national_yearly!$D:$AM, 16, FALSE) / VLOOKUP("LULUCF|NOx|Infant mortality", US_national_yearly!$D:$AM, 10, FALSE), 1)</f>
        <v>1.4352639716408761E-7</v>
      </c>
      <c r="I3" s="7">
        <f>$B3 * IFERROR(VLOOKUP("LULUCF|NOx|Infant mortality", US_national_yearly!$D:$AM, 17, FALSE) / VLOOKUP("LULUCF|NOx|Infant mortality", US_national_yearly!$D:$AM, 10, FALSE), 1)</f>
        <v>1.4251152849657506E-7</v>
      </c>
      <c r="J3" s="7">
        <f>$B3 * IFERROR(VLOOKUP("LULUCF|NOx|Infant mortality", US_national_yearly!$D:$AM, 18, FALSE) / VLOOKUP("LULUCF|NOx|Infant mortality", US_national_yearly!$D:$AM, 10, FALSE), 1)</f>
        <v>1.414966598290625E-7</v>
      </c>
      <c r="K3" s="7">
        <f>$B3 * IFERROR(VLOOKUP("LULUCF|NOx|Infant mortality", US_national_yearly!$D:$AM, 19, FALSE) / VLOOKUP("LULUCF|NOx|Infant mortality", US_national_yearly!$D:$AM, 10, FALSE), 1)</f>
        <v>1.4048179116154997E-7</v>
      </c>
      <c r="L3" s="7">
        <f>$B3 * IFERROR(VLOOKUP("LULUCF|NOx|Infant mortality", US_national_yearly!$D:$AM, 20, FALSE) / VLOOKUP("LULUCF|NOx|Infant mortality", US_national_yearly!$D:$AM, 10, FALSE), 1)</f>
        <v>1.3946692249403741E-7</v>
      </c>
      <c r="M3" s="7">
        <f>$B3 * IFERROR(VLOOKUP("LULUCF|NOx|Infant mortality", US_national_yearly!$D:$AM, 21, FALSE) / VLOOKUP("LULUCF|NOx|Infant mortality", US_national_yearly!$D:$AM, 10, FALSE), 1)</f>
        <v>1.3845205382652486E-7</v>
      </c>
      <c r="N3" s="7">
        <f>$B3 * IFERROR(VLOOKUP("LULUCF|NOx|Infant mortality", US_national_yearly!$D:$AM, 22, FALSE) / VLOOKUP("LULUCF|NOx|Infant mortality", US_national_yearly!$D:$AM, 10, FALSE), 1)</f>
        <v>1.3777842643921058E-7</v>
      </c>
      <c r="O3" s="7">
        <f>$B3 * IFERROR(VLOOKUP("LULUCF|NOx|Infant mortality", US_national_yearly!$D:$AM, 23, FALSE) / VLOOKUP("LULUCF|NOx|Infant mortality", US_national_yearly!$D:$AM, 10, FALSE), 1)</f>
        <v>1.371047990518963E-7</v>
      </c>
      <c r="P3" s="7">
        <f>$B3 * IFERROR(VLOOKUP("LULUCF|NOx|Infant mortality", US_national_yearly!$D:$AM, 24, FALSE) / VLOOKUP("LULUCF|NOx|Infant mortality", US_national_yearly!$D:$AM, 10, FALSE), 1)</f>
        <v>1.3643117166458202E-7</v>
      </c>
      <c r="Q3" s="7">
        <f>$B3 * IFERROR(VLOOKUP("LULUCF|NOx|Infant mortality", US_national_yearly!$D:$AM, 25, FALSE) / VLOOKUP("LULUCF|NOx|Infant mortality", US_national_yearly!$D:$AM, 10, FALSE), 1)</f>
        <v>1.3575754427726777E-7</v>
      </c>
      <c r="R3" s="7">
        <f>$B3 * IFERROR(VLOOKUP("LULUCF|NOx|Infant mortality", US_national_yearly!$D:$AM, 26, FALSE) / VLOOKUP("LULUCF|NOx|Infant mortality", US_national_yearly!$D:$AM, 10, FALSE), 1)</f>
        <v>1.3508391688995349E-7</v>
      </c>
      <c r="S3" s="7">
        <f>$B3 * IFERROR(VLOOKUP("LULUCF|NOx|Infant mortality", US_national_yearly!$D:$AM, 27, FALSE) / VLOOKUP("LULUCF|NOx|Infant mortality", US_national_yearly!$D:$AM, 10, FALSE), 1)</f>
        <v>1.3427410964759748E-7</v>
      </c>
      <c r="T3" s="7">
        <f>$B3 * IFERROR(VLOOKUP("LULUCF|NOx|Infant mortality", US_national_yearly!$D:$AM, 28, FALSE) / VLOOKUP("LULUCF|NOx|Infant mortality", US_national_yearly!$D:$AM, 10, FALSE), 1)</f>
        <v>1.3346430240524147E-7</v>
      </c>
      <c r="U3" s="7">
        <f>$B3 * IFERROR(VLOOKUP("LULUCF|NOx|Infant mortality", US_national_yearly!$D:$AM, 29, FALSE) / VLOOKUP("LULUCF|NOx|Infant mortality", US_national_yearly!$D:$AM, 10, FALSE), 1)</f>
        <v>1.3265449516288543E-7</v>
      </c>
      <c r="V3" s="7">
        <f>$B3 * IFERROR(VLOOKUP("LULUCF|NOx|Infant mortality", US_national_yearly!$D:$AM, 30, FALSE) / VLOOKUP("LULUCF|NOx|Infant mortality", US_national_yearly!$D:$AM, 10, FALSE), 1)</f>
        <v>1.3184468792052942E-7</v>
      </c>
      <c r="W3" s="7">
        <f>$B3 * IFERROR(VLOOKUP("LULUCF|NOx|Infant mortality", US_national_yearly!$D:$AM, 31, FALSE) / VLOOKUP("LULUCF|NOx|Infant mortality", US_national_yearly!$D:$AM, 10, FALSE), 1)</f>
        <v>1.3103488067817341E-7</v>
      </c>
      <c r="X3" s="7">
        <f>$B3 * IFERROR(VLOOKUP("LULUCF|NOx|Infant mortality", US_national_yearly!$D:$AM, 32, FALSE) / VLOOKUP("LULUCF|NOx|Infant mortality", US_national_yearly!$D:$AM, 10, FALSE), 1)</f>
        <v>1.3017725564783847E-7</v>
      </c>
      <c r="Y3" s="7">
        <f>$B3 * IFERROR(VLOOKUP("LULUCF|NOx|Infant mortality", US_national_yearly!$D:$AM, 33, FALSE) / VLOOKUP("LULUCF|NOx|Infant mortality", US_national_yearly!$D:$AM, 10, FALSE), 1)</f>
        <v>1.2931963061750354E-7</v>
      </c>
      <c r="Z3" s="7">
        <f>$B3 * IFERROR(VLOOKUP("LULUCF|NOx|Infant mortality", US_national_yearly!$D:$AM, 34, FALSE) / VLOOKUP("LULUCF|NOx|Infant mortality", US_national_yearly!$D:$AM, 10, FALSE), 1)</f>
        <v>1.2846200558716858E-7</v>
      </c>
      <c r="AA3" s="7">
        <f>$B3 * IFERROR(VLOOKUP("LULUCF|NOx|Infant mortality", US_national_yearly!$D:$AM, 35, FALSE) / VLOOKUP("LULUCF|NOx|Infant mortality", US_national_yearly!$D:$AM, 10, FALSE), 1)</f>
        <v>1.2760438055683362E-7</v>
      </c>
      <c r="AB3" s="7">
        <f>$B3 * IFERROR(VLOOKUP("LULUCF|NOx|Infant mortality", US_national_yearly!$D:$AM, 36, FALSE) / VLOOKUP("LULUCF|NOx|Infant mortality", US_national_yearly!$D:$AM, 10, FALSE), 1)</f>
        <v>1.2674675552649866E-7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6.8800587273550723E-4</v>
      </c>
      <c r="C6" s="7">
        <f>$B6 * IFERROR(VLOOKUP("LULUCF|NOx|Asthma symptoms cough", US_national_yearly!$D:$AM, 11, FALSE) / VLOOKUP("LULUCF|NOx|Asthma symptoms cough", US_national_yearly!$D:$AM, 10, FALSE), 1)</f>
        <v>6.9741203786087699E-4</v>
      </c>
      <c r="D6" s="7">
        <f>$B6 * IFERROR(VLOOKUP("LULUCF|NOx|Asthma symptoms cough", US_national_yearly!$D:$AM, 12, FALSE) / VLOOKUP("LULUCF|NOx|Asthma symptoms cough", US_national_yearly!$D:$AM, 10, FALSE), 1)</f>
        <v>7.0681820298624663E-4</v>
      </c>
      <c r="E6" s="7">
        <f>$B6 * IFERROR(VLOOKUP("LULUCF|NOx|Asthma symptoms cough", US_national_yearly!$D:$AM, 13, FALSE) / VLOOKUP("LULUCF|NOx|Asthma symptoms cough", US_national_yearly!$D:$AM, 10, FALSE), 1)</f>
        <v>7.1622436811161639E-4</v>
      </c>
      <c r="F6" s="7">
        <f>$B6 * IFERROR(VLOOKUP("LULUCF|NOx|Asthma symptoms cough", US_national_yearly!$D:$AM, 14, FALSE) / VLOOKUP("LULUCF|NOx|Asthma symptoms cough", US_national_yearly!$D:$AM, 10, FALSE), 1)</f>
        <v>7.2563053323698615E-4</v>
      </c>
      <c r="G6" s="7">
        <f>$B6 * IFERROR(VLOOKUP("LULUCF|NOx|Asthma symptoms cough", US_national_yearly!$D:$AM, 15, FALSE) / VLOOKUP("LULUCF|NOx|Asthma symptoms cough", US_national_yearly!$D:$AM, 10, FALSE), 1)</f>
        <v>7.3314004166681937E-4</v>
      </c>
      <c r="H6" s="7">
        <f>$B6 * IFERROR(VLOOKUP("LULUCF|NOx|Asthma symptoms cough", US_national_yearly!$D:$AM, 16, FALSE) / VLOOKUP("LULUCF|NOx|Asthma symptoms cough", US_national_yearly!$D:$AM, 10, FALSE), 1)</f>
        <v>7.4064955009665282E-4</v>
      </c>
      <c r="I6" s="7">
        <f>$B6 * IFERROR(VLOOKUP("LULUCF|NOx|Asthma symptoms cough", US_national_yearly!$D:$AM, 17, FALSE) / VLOOKUP("LULUCF|NOx|Asthma symptoms cough", US_national_yearly!$D:$AM, 10, FALSE), 1)</f>
        <v>7.4323421554413642E-4</v>
      </c>
      <c r="J6" s="7">
        <f>$B6 * IFERROR(VLOOKUP("LULUCF|NOx|Asthma symptoms cough", US_national_yearly!$D:$AM, 18, FALSE) / VLOOKUP("LULUCF|NOx|Asthma symptoms cough", US_national_yearly!$D:$AM, 10, FALSE), 1)</f>
        <v>7.4581888099162024E-4</v>
      </c>
      <c r="K6" s="7">
        <f>$B6 * IFERROR(VLOOKUP("LULUCF|NOx|Asthma symptoms cough", US_national_yearly!$D:$AM, 19, FALSE) / VLOOKUP("LULUCF|NOx|Asthma symptoms cough", US_national_yearly!$D:$AM, 10, FALSE), 1)</f>
        <v>7.4840354643910395E-4</v>
      </c>
      <c r="L6" s="7">
        <f>$B6 * IFERROR(VLOOKUP("LULUCF|NOx|Asthma symptoms cough", US_national_yearly!$D:$AM, 20, FALSE) / VLOOKUP("LULUCF|NOx|Asthma symptoms cough", US_national_yearly!$D:$AM, 10, FALSE), 1)</f>
        <v>7.5098821188658755E-4</v>
      </c>
      <c r="M6" s="7">
        <f>$B6 * IFERROR(VLOOKUP("LULUCF|NOx|Asthma symptoms cough", US_national_yearly!$D:$AM, 21, FALSE) / VLOOKUP("LULUCF|NOx|Asthma symptoms cough", US_national_yearly!$D:$AM, 10, FALSE), 1)</f>
        <v>7.5357287733407137E-4</v>
      </c>
      <c r="N6" s="7">
        <f>$B6 * IFERROR(VLOOKUP("LULUCF|NOx|Asthma symptoms cough", US_national_yearly!$D:$AM, 22, FALSE) / VLOOKUP("LULUCF|NOx|Asthma symptoms cough", US_national_yearly!$D:$AM, 10, FALSE), 1)</f>
        <v>7.5656998939340738E-4</v>
      </c>
      <c r="O6" s="7">
        <f>$B6 * IFERROR(VLOOKUP("LULUCF|NOx|Asthma symptoms cough", US_national_yearly!$D:$AM, 23, FALSE) / VLOOKUP("LULUCF|NOx|Asthma symptoms cough", US_national_yearly!$D:$AM, 10, FALSE), 1)</f>
        <v>7.595671014527435E-4</v>
      </c>
      <c r="P6" s="7">
        <f>$B6 * IFERROR(VLOOKUP("LULUCF|NOx|Asthma symptoms cough", US_national_yearly!$D:$AM, 24, FALSE) / VLOOKUP("LULUCF|NOx|Asthma symptoms cough", US_national_yearly!$D:$AM, 10, FALSE), 1)</f>
        <v>7.6256421351207952E-4</v>
      </c>
      <c r="Q6" s="7">
        <f>$B6 * IFERROR(VLOOKUP("LULUCF|NOx|Asthma symptoms cough", US_national_yearly!$D:$AM, 25, FALSE) / VLOOKUP("LULUCF|NOx|Asthma symptoms cough", US_national_yearly!$D:$AM, 10, FALSE), 1)</f>
        <v>7.6556132557141574E-4</v>
      </c>
      <c r="R6" s="7">
        <f>$B6 * IFERROR(VLOOKUP("LULUCF|NOx|Asthma symptoms cough", US_national_yearly!$D:$AM, 26, FALSE) / VLOOKUP("LULUCF|NOx|Asthma symptoms cough", US_national_yearly!$D:$AM, 10, FALSE), 1)</f>
        <v>7.6855843763075186E-4</v>
      </c>
      <c r="S6" s="7">
        <f>$B6 * IFERROR(VLOOKUP("LULUCF|NOx|Asthma symptoms cough", US_national_yearly!$D:$AM, 27, FALSE) / VLOOKUP("LULUCF|NOx|Asthma symptoms cough", US_national_yearly!$D:$AM, 10, FALSE), 1)</f>
        <v>7.7247362055336236E-4</v>
      </c>
      <c r="T6" s="7">
        <f>$B6 * IFERROR(VLOOKUP("LULUCF|NOx|Asthma symptoms cough", US_national_yearly!$D:$AM, 28, FALSE) / VLOOKUP("LULUCF|NOx|Asthma symptoms cough", US_national_yearly!$D:$AM, 10, FALSE), 1)</f>
        <v>7.7638880347597275E-4</v>
      </c>
      <c r="U6" s="7">
        <f>$B6 * IFERROR(VLOOKUP("LULUCF|NOx|Asthma symptoms cough", US_national_yearly!$D:$AM, 29, FALSE) / VLOOKUP("LULUCF|NOx|Asthma symptoms cough", US_national_yearly!$D:$AM, 10, FALSE), 1)</f>
        <v>7.8030398639858292E-4</v>
      </c>
      <c r="V6" s="7">
        <f>$B6 * IFERROR(VLOOKUP("LULUCF|NOx|Asthma symptoms cough", US_national_yearly!$D:$AM, 30, FALSE) / VLOOKUP("LULUCF|NOx|Asthma symptoms cough", US_national_yearly!$D:$AM, 10, FALSE), 1)</f>
        <v>7.8421916932119341E-4</v>
      </c>
      <c r="W6" s="7">
        <f>$B6 * IFERROR(VLOOKUP("LULUCF|NOx|Asthma symptoms cough", US_national_yearly!$D:$AM, 31, FALSE) / VLOOKUP("LULUCF|NOx|Asthma symptoms cough", US_national_yearly!$D:$AM, 10, FALSE), 1)</f>
        <v>7.881343522438038E-4</v>
      </c>
      <c r="X6" s="7">
        <f>$B6 * IFERROR(VLOOKUP("LULUCF|NOx|Asthma symptoms cough", US_national_yearly!$D:$AM, 32, FALSE) / VLOOKUP("LULUCF|NOx|Asthma symptoms cough", US_national_yearly!$D:$AM, 10, FALSE), 1)</f>
        <v>7.9177211973411145E-4</v>
      </c>
      <c r="Y6" s="7">
        <f>$B6 * IFERROR(VLOOKUP("LULUCF|NOx|Asthma symptoms cough", US_national_yearly!$D:$AM, 33, FALSE) / VLOOKUP("LULUCF|NOx|Asthma symptoms cough", US_national_yearly!$D:$AM, 10, FALSE), 1)</f>
        <v>7.95409887224419E-4</v>
      </c>
      <c r="Z6" s="7">
        <f>$B6 * IFERROR(VLOOKUP("LULUCF|NOx|Asthma symptoms cough", US_national_yearly!$D:$AM, 34, FALSE) / VLOOKUP("LULUCF|NOx|Asthma symptoms cough", US_national_yearly!$D:$AM, 10, FALSE), 1)</f>
        <v>7.9904765471472666E-4</v>
      </c>
      <c r="AA6" s="7">
        <f>$B6 * IFERROR(VLOOKUP("LULUCF|NOx|Asthma symptoms cough", US_national_yearly!$D:$AM, 35, FALSE) / VLOOKUP("LULUCF|NOx|Asthma symptoms cough", US_national_yearly!$D:$AM, 10, FALSE), 1)</f>
        <v>8.026854222050342E-4</v>
      </c>
      <c r="AB6" s="7">
        <f>$B6 * IFERROR(VLOOKUP("LULUCF|NOx|Asthma symptoms cough", US_national_yearly!$D:$AM, 36, FALSE) / VLOOKUP("LULUCF|NOx|Asthma symptoms cough", US_national_yearly!$D:$AM, 10, FALSE), 1)</f>
        <v>8.0632318969534197E-4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9.2649962929465405E-4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9.3916639398413499E-4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9.5183315867361582E-4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9.6449992336309677E-4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9.7716668805257782E-4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9.8727932958756208E-4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9.9739197112254613E-4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1.0008725977537498E-3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1.0043532243849533E-3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1.0078338510161569E-3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1.0113144776473604E-3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1.0147951042785641E-3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1.0188311500638689E-3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1.0228671958491739E-3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1.0269032416344785E-3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1.0309392874197833E-3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1.0349753332050881E-3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1.0402476944865288E-3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1.0455200557679698E-3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1.0507924170494105E-3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1.0560647783308509E-3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1.0613371396122917E-3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1.0662359208016405E-3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1.0711347019909893E-3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1.0760334831803385E-3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1.0809322643696873E-3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1.0858310455590361E-3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1.4155348105778654E-3</v>
      </c>
      <c r="C8" s="7">
        <f>$B8 * IFERROR(VLOOKUP("LULUCF|NOx|Asthma symptoms wheeze", US_national_yearly!$D:$AM, 11, FALSE) / VLOOKUP("LULUCF|NOx|Asthma symptoms wheeze", US_national_yearly!$D:$AM, 10, FALSE), 1)</f>
        <v>1.4348874857729554E-3</v>
      </c>
      <c r="D8" s="7">
        <f>$B8 * IFERROR(VLOOKUP("LULUCF|NOx|Asthma symptoms wheeze", US_national_yearly!$D:$AM, 12, FALSE) / VLOOKUP("LULUCF|NOx|Asthma symptoms wheeze", US_national_yearly!$D:$AM, 10, FALSE), 1)</f>
        <v>1.4542401609680461E-3</v>
      </c>
      <c r="E8" s="7">
        <f>$B8 * IFERROR(VLOOKUP("LULUCF|NOx|Asthma symptoms wheeze", US_national_yearly!$D:$AM, 13, FALSE) / VLOOKUP("LULUCF|NOx|Asthma symptoms wheeze", US_national_yearly!$D:$AM, 10, FALSE), 1)</f>
        <v>1.473592836163136E-3</v>
      </c>
      <c r="F8" s="7">
        <f>$B8 * IFERROR(VLOOKUP("LULUCF|NOx|Asthma symptoms wheeze", US_national_yearly!$D:$AM, 14, FALSE) / VLOOKUP("LULUCF|NOx|Asthma symptoms wheeze", US_national_yearly!$D:$AM, 10, FALSE), 1)</f>
        <v>1.492945511358226E-3</v>
      </c>
      <c r="G8" s="7">
        <f>$B8 * IFERROR(VLOOKUP("LULUCF|NOx|Asthma symptoms wheeze", US_national_yearly!$D:$AM, 15, FALSE) / VLOOKUP("LULUCF|NOx|Asthma symptoms wheeze", US_national_yearly!$D:$AM, 10, FALSE), 1)</f>
        <v>1.5083959181593624E-3</v>
      </c>
      <c r="H8" s="7">
        <f>$B8 * IFERROR(VLOOKUP("LULUCF|NOx|Asthma symptoms wheeze", US_national_yearly!$D:$AM, 16, FALSE) / VLOOKUP("LULUCF|NOx|Asthma symptoms wheeze", US_national_yearly!$D:$AM, 10, FALSE), 1)</f>
        <v>1.5238463249604985E-3</v>
      </c>
      <c r="I8" s="7">
        <f>$B8 * IFERROR(VLOOKUP("LULUCF|NOx|Asthma symptoms wheeze", US_national_yearly!$D:$AM, 17, FALSE) / VLOOKUP("LULUCF|NOx|Asthma symptoms wheeze", US_national_yearly!$D:$AM, 10, FALSE), 1)</f>
        <v>1.5291641341259165E-3</v>
      </c>
      <c r="J8" s="7">
        <f>$B8 * IFERROR(VLOOKUP("LULUCF|NOx|Asthma symptoms wheeze", US_national_yearly!$D:$AM, 18, FALSE) / VLOOKUP("LULUCF|NOx|Asthma symptoms wheeze", US_national_yearly!$D:$AM, 10, FALSE), 1)</f>
        <v>1.5344819432913349E-3</v>
      </c>
      <c r="K8" s="7">
        <f>$B8 * IFERROR(VLOOKUP("LULUCF|NOx|Asthma symptoms wheeze", US_national_yearly!$D:$AM, 19, FALSE) / VLOOKUP("LULUCF|NOx|Asthma symptoms wheeze", US_national_yearly!$D:$AM, 10, FALSE), 1)</f>
        <v>1.5397997524567526E-3</v>
      </c>
      <c r="L8" s="7">
        <f>$B8 * IFERROR(VLOOKUP("LULUCF|NOx|Asthma symptoms wheeze", US_national_yearly!$D:$AM, 20, FALSE) / VLOOKUP("LULUCF|NOx|Asthma symptoms wheeze", US_national_yearly!$D:$AM, 10, FALSE), 1)</f>
        <v>1.545117561622171E-3</v>
      </c>
      <c r="M8" s="7">
        <f>$B8 * IFERROR(VLOOKUP("LULUCF|NOx|Asthma symptoms wheeze", US_national_yearly!$D:$AM, 21, FALSE) / VLOOKUP("LULUCF|NOx|Asthma symptoms wheeze", US_national_yearly!$D:$AM, 10, FALSE), 1)</f>
        <v>1.550435370787589E-3</v>
      </c>
      <c r="N8" s="7">
        <f>$B8 * IFERROR(VLOOKUP("LULUCF|NOx|Asthma symptoms wheeze", US_national_yearly!$D:$AM, 22, FALSE) / VLOOKUP("LULUCF|NOx|Asthma symptoms wheeze", US_national_yearly!$D:$AM, 10, FALSE), 1)</f>
        <v>1.5566017665200804E-3</v>
      </c>
      <c r="O8" s="7">
        <f>$B8 * IFERROR(VLOOKUP("LULUCF|NOx|Asthma symptoms wheeze", US_national_yearly!$D:$AM, 23, FALSE) / VLOOKUP("LULUCF|NOx|Asthma symptoms wheeze", US_national_yearly!$D:$AM, 10, FALSE), 1)</f>
        <v>1.562768162252572E-3</v>
      </c>
      <c r="P8" s="7">
        <f>$B8 * IFERROR(VLOOKUP("LULUCF|NOx|Asthma symptoms wheeze", US_national_yearly!$D:$AM, 24, FALSE) / VLOOKUP("LULUCF|NOx|Asthma symptoms wheeze", US_national_yearly!$D:$AM, 10, FALSE), 1)</f>
        <v>1.5689345579850637E-3</v>
      </c>
      <c r="Q8" s="7">
        <f>$B8 * IFERROR(VLOOKUP("LULUCF|NOx|Asthma symptoms wheeze", US_national_yearly!$D:$AM, 25, FALSE) / VLOOKUP("LULUCF|NOx|Asthma symptoms wheeze", US_national_yearly!$D:$AM, 10, FALSE), 1)</f>
        <v>1.5751009537175553E-3</v>
      </c>
      <c r="R8" s="7">
        <f>$B8 * IFERROR(VLOOKUP("LULUCF|NOx|Asthma symptoms wheeze", US_national_yearly!$D:$AM, 26, FALSE) / VLOOKUP("LULUCF|NOx|Asthma symptoms wheeze", US_national_yearly!$D:$AM, 10, FALSE), 1)</f>
        <v>1.5812673494500467E-3</v>
      </c>
      <c r="S8" s="7">
        <f>$B8 * IFERROR(VLOOKUP("LULUCF|NOx|Asthma symptoms wheeze", US_national_yearly!$D:$AM, 27, FALSE) / VLOOKUP("LULUCF|NOx|Asthma symptoms wheeze", US_national_yearly!$D:$AM, 10, FALSE), 1)</f>
        <v>1.5893226262543966E-3</v>
      </c>
      <c r="T8" s="7">
        <f>$B8 * IFERROR(VLOOKUP("LULUCF|NOx|Asthma symptoms wheeze", US_national_yearly!$D:$AM, 28, FALSE) / VLOOKUP("LULUCF|NOx|Asthma symptoms wheeze", US_national_yearly!$D:$AM, 10, FALSE), 1)</f>
        <v>1.5973779030587466E-3</v>
      </c>
      <c r="U8" s="7">
        <f>$B8 * IFERROR(VLOOKUP("LULUCF|NOx|Asthma symptoms wheeze", US_national_yearly!$D:$AM, 29, FALSE) / VLOOKUP("LULUCF|NOx|Asthma symptoms wheeze", US_national_yearly!$D:$AM, 10, FALSE), 1)</f>
        <v>1.6054331798630965E-3</v>
      </c>
      <c r="V8" s="7">
        <f>$B8 * IFERROR(VLOOKUP("LULUCF|NOx|Asthma symptoms wheeze", US_national_yearly!$D:$AM, 30, FALSE) / VLOOKUP("LULUCF|NOx|Asthma symptoms wheeze", US_national_yearly!$D:$AM, 10, FALSE), 1)</f>
        <v>1.6134884566674466E-3</v>
      </c>
      <c r="W8" s="7">
        <f>$B8 * IFERROR(VLOOKUP("LULUCF|NOx|Asthma symptoms wheeze", US_national_yearly!$D:$AM, 31, FALSE) / VLOOKUP("LULUCF|NOx|Asthma symptoms wheeze", US_national_yearly!$D:$AM, 10, FALSE), 1)</f>
        <v>1.6215437334717961E-3</v>
      </c>
      <c r="X8" s="7">
        <f>$B8 * IFERROR(VLOOKUP("LULUCF|NOx|Asthma symptoms wheeze", US_national_yearly!$D:$AM, 32, FALSE) / VLOOKUP("LULUCF|NOx|Asthma symptoms wheeze", US_national_yearly!$D:$AM, 10, FALSE), 1)</f>
        <v>1.6290282430473538E-3</v>
      </c>
      <c r="Y8" s="7">
        <f>$B8 * IFERROR(VLOOKUP("LULUCF|NOx|Asthma symptoms wheeze", US_national_yearly!$D:$AM, 33, FALSE) / VLOOKUP("LULUCF|NOx|Asthma symptoms wheeze", US_national_yearly!$D:$AM, 10, FALSE), 1)</f>
        <v>1.6365127526229112E-3</v>
      </c>
      <c r="Z8" s="7">
        <f>$B8 * IFERROR(VLOOKUP("LULUCF|NOx|Asthma symptoms wheeze", US_national_yearly!$D:$AM, 34, FALSE) / VLOOKUP("LULUCF|NOx|Asthma symptoms wheeze", US_national_yearly!$D:$AM, 10, FALSE), 1)</f>
        <v>1.6439972621984688E-3</v>
      </c>
      <c r="AA8" s="7">
        <f>$B8 * IFERROR(VLOOKUP("LULUCF|NOx|Asthma symptoms wheeze", US_national_yearly!$D:$AM, 35, FALSE) / VLOOKUP("LULUCF|NOx|Asthma symptoms wheeze", US_national_yearly!$D:$AM, 10, FALSE), 1)</f>
        <v>1.651481771774026E-3</v>
      </c>
      <c r="AB8" s="7">
        <f>$B8 * IFERROR(VLOOKUP("LULUCF|NOx|Asthma symptoms wheeze", US_national_yearly!$D:$AM, 36, FALSE) / VLOOKUP("LULUCF|NOx|Asthma symptoms wheeze", US_national_yearly!$D:$AM, 10, FALSE), 1)</f>
        <v>1.6589662813495836E-3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2.368008958821191E-5</v>
      </c>
      <c r="C12" s="7">
        <f>$B12 * IFERROR(VLOOKUP("LULUCF|NOx|Respiratory hospital admissions", US_national_yearly!$D:$AM, 11, FALSE) / VLOOKUP("LULUCF|NOx|Respiratory hospital admissions", US_national_yearly!$D:$AM, 10, FALSE), 1)</f>
        <v>2.4270781483117204E-5</v>
      </c>
      <c r="D12" s="7">
        <f>$B12 * IFERROR(VLOOKUP("LULUCF|NOx|Respiratory hospital admissions", US_national_yearly!$D:$AM, 12, FALSE) / VLOOKUP("LULUCF|NOx|Respiratory hospital admissions", US_national_yearly!$D:$AM, 10, FALSE), 1)</f>
        <v>2.4861473378022505E-5</v>
      </c>
      <c r="E12" s="7">
        <f>$B12 * IFERROR(VLOOKUP("LULUCF|NOx|Respiratory hospital admissions", US_national_yearly!$D:$AM, 13, FALSE) / VLOOKUP("LULUCF|NOx|Respiratory hospital admissions", US_national_yearly!$D:$AM, 10, FALSE), 1)</f>
        <v>2.5452165272927806E-5</v>
      </c>
      <c r="F12" s="7">
        <f>$B12 * IFERROR(VLOOKUP("LULUCF|NOx|Respiratory hospital admissions", US_national_yearly!$D:$AM, 14, FALSE) / VLOOKUP("LULUCF|NOx|Respiratory hospital admissions", US_national_yearly!$D:$AM, 10, FALSE), 1)</f>
        <v>2.6042857167833107E-5</v>
      </c>
      <c r="G12" s="7">
        <f>$B12 * IFERROR(VLOOKUP("LULUCF|NOx|Respiratory hospital admissions", US_national_yearly!$D:$AM, 15, FALSE) / VLOOKUP("LULUCF|NOx|Respiratory hospital admissions", US_national_yearly!$D:$AM, 10, FALSE), 1)</f>
        <v>2.6607578724121496E-5</v>
      </c>
      <c r="H12" s="7">
        <f>$B12 * IFERROR(VLOOKUP("LULUCF|NOx|Respiratory hospital admissions", US_national_yearly!$D:$AM, 16, FALSE) / VLOOKUP("LULUCF|NOx|Respiratory hospital admissions", US_national_yearly!$D:$AM, 10, FALSE), 1)</f>
        <v>2.7172300280409889E-5</v>
      </c>
      <c r="I12" s="7">
        <f>$B12 * IFERROR(VLOOKUP("LULUCF|NOx|Respiratory hospital admissions", US_national_yearly!$D:$AM, 17, FALSE) / VLOOKUP("LULUCF|NOx|Respiratory hospital admissions", US_national_yearly!$D:$AM, 10, FALSE), 1)</f>
        <v>2.765176049119904E-5</v>
      </c>
      <c r="J12" s="7">
        <f>$B12 * IFERROR(VLOOKUP("LULUCF|NOx|Respiratory hospital admissions", US_national_yearly!$D:$AM, 18, FALSE) / VLOOKUP("LULUCF|NOx|Respiratory hospital admissions", US_national_yearly!$D:$AM, 10, FALSE), 1)</f>
        <v>2.8131220701988188E-5</v>
      </c>
      <c r="K12" s="7">
        <f>$B12 * IFERROR(VLOOKUP("LULUCF|NOx|Respiratory hospital admissions", US_national_yearly!$D:$AM, 19, FALSE) / VLOOKUP("LULUCF|NOx|Respiratory hospital admissions", US_national_yearly!$D:$AM, 10, FALSE), 1)</f>
        <v>2.861068091277734E-5</v>
      </c>
      <c r="L12" s="7">
        <f>$B12 * IFERROR(VLOOKUP("LULUCF|NOx|Respiratory hospital admissions", US_national_yearly!$D:$AM, 20, FALSE) / VLOOKUP("LULUCF|NOx|Respiratory hospital admissions", US_national_yearly!$D:$AM, 10, FALSE), 1)</f>
        <v>2.9090141123566491E-5</v>
      </c>
      <c r="M12" s="7">
        <f>$B12 * IFERROR(VLOOKUP("LULUCF|NOx|Respiratory hospital admissions", US_national_yearly!$D:$AM, 21, FALSE) / VLOOKUP("LULUCF|NOx|Respiratory hospital admissions", US_national_yearly!$D:$AM, 10, FALSE), 1)</f>
        <v>2.9569601334355643E-5</v>
      </c>
      <c r="N12" s="7">
        <f>$B12 * IFERROR(VLOOKUP("LULUCF|NOx|Respiratory hospital admissions", US_national_yearly!$D:$AM, 22, FALSE) / VLOOKUP("LULUCF|NOx|Respiratory hospital admissions", US_national_yearly!$D:$AM, 10, FALSE), 1)</f>
        <v>2.989012911773801E-5</v>
      </c>
      <c r="O12" s="7">
        <f>$B12 * IFERROR(VLOOKUP("LULUCF|NOx|Respiratory hospital admissions", US_national_yearly!$D:$AM, 23, FALSE) / VLOOKUP("LULUCF|NOx|Respiratory hospital admissions", US_national_yearly!$D:$AM, 10, FALSE), 1)</f>
        <v>3.0210656901120387E-5</v>
      </c>
      <c r="P12" s="7">
        <f>$B12 * IFERROR(VLOOKUP("LULUCF|NOx|Respiratory hospital admissions", US_national_yearly!$D:$AM, 24, FALSE) / VLOOKUP("LULUCF|NOx|Respiratory hospital admissions", US_national_yearly!$D:$AM, 10, FALSE), 1)</f>
        <v>3.0531184684502761E-5</v>
      </c>
      <c r="Q12" s="7">
        <f>$B12 * IFERROR(VLOOKUP("LULUCF|NOx|Respiratory hospital admissions", US_national_yearly!$D:$AM, 25, FALSE) / VLOOKUP("LULUCF|NOx|Respiratory hospital admissions", US_national_yearly!$D:$AM, 10, FALSE), 1)</f>
        <v>3.0851712467885138E-5</v>
      </c>
      <c r="R12" s="7">
        <f>$B12 * IFERROR(VLOOKUP("LULUCF|NOx|Respiratory hospital admissions", US_national_yearly!$D:$AM, 26, FALSE) / VLOOKUP("LULUCF|NOx|Respiratory hospital admissions", US_national_yearly!$D:$AM, 10, FALSE), 1)</f>
        <v>3.1172240251267508E-5</v>
      </c>
      <c r="S12" s="7">
        <f>$B12 * IFERROR(VLOOKUP("LULUCF|NOx|Respiratory hospital admissions", US_national_yearly!$D:$AM, 27, FALSE) / VLOOKUP("LULUCF|NOx|Respiratory hospital admissions", US_national_yearly!$D:$AM, 10, FALSE), 1)</f>
        <v>3.1343970352306903E-5</v>
      </c>
      <c r="T12" s="7">
        <f>$B12 * IFERROR(VLOOKUP("LULUCF|NOx|Respiratory hospital admissions", US_national_yearly!$D:$AM, 28, FALSE) / VLOOKUP("LULUCF|NOx|Respiratory hospital admissions", US_national_yearly!$D:$AM, 10, FALSE), 1)</f>
        <v>3.1515700453346298E-5</v>
      </c>
      <c r="U12" s="7">
        <f>$B12 * IFERROR(VLOOKUP("LULUCF|NOx|Respiratory hospital admissions", US_national_yearly!$D:$AM, 29, FALSE) / VLOOKUP("LULUCF|NOx|Respiratory hospital admissions", US_national_yearly!$D:$AM, 10, FALSE), 1)</f>
        <v>3.1687430554385686E-5</v>
      </c>
      <c r="V12" s="7">
        <f>$B12 * IFERROR(VLOOKUP("LULUCF|NOx|Respiratory hospital admissions", US_national_yearly!$D:$AM, 30, FALSE) / VLOOKUP("LULUCF|NOx|Respiratory hospital admissions", US_national_yearly!$D:$AM, 10, FALSE), 1)</f>
        <v>3.1859160655425074E-5</v>
      </c>
      <c r="W12" s="7">
        <f>$B12 * IFERROR(VLOOKUP("LULUCF|NOx|Respiratory hospital admissions", US_national_yearly!$D:$AM, 31, FALSE) / VLOOKUP("LULUCF|NOx|Respiratory hospital admissions", US_national_yearly!$D:$AM, 10, FALSE), 1)</f>
        <v>3.2030890756464476E-5</v>
      </c>
      <c r="X12" s="7">
        <f>$B12 * IFERROR(VLOOKUP("LULUCF|NOx|Respiratory hospital admissions", US_national_yearly!$D:$AM, 32, FALSE) / VLOOKUP("LULUCF|NOx|Respiratory hospital admissions", US_national_yearly!$D:$AM, 10, FALSE), 1)</f>
        <v>3.2148245969953808E-5</v>
      </c>
      <c r="Y12" s="7">
        <f>$B12 * IFERROR(VLOOKUP("LULUCF|NOx|Respiratory hospital admissions", US_national_yearly!$D:$AM, 33, FALSE) / VLOOKUP("LULUCF|NOx|Respiratory hospital admissions", US_national_yearly!$D:$AM, 10, FALSE), 1)</f>
        <v>3.2265601183443146E-5</v>
      </c>
      <c r="Z12" s="7">
        <f>$B12 * IFERROR(VLOOKUP("LULUCF|NOx|Respiratory hospital admissions", US_national_yearly!$D:$AM, 34, FALSE) / VLOOKUP("LULUCF|NOx|Respiratory hospital admissions", US_national_yearly!$D:$AM, 10, FALSE), 1)</f>
        <v>3.2382956396932485E-5</v>
      </c>
      <c r="AA12" s="7">
        <f>$B12 * IFERROR(VLOOKUP("LULUCF|NOx|Respiratory hospital admissions", US_national_yearly!$D:$AM, 35, FALSE) / VLOOKUP("LULUCF|NOx|Respiratory hospital admissions", US_national_yearly!$D:$AM, 10, FALSE), 1)</f>
        <v>3.2500311610421816E-5</v>
      </c>
      <c r="AB12" s="7">
        <f>$B12 * IFERROR(VLOOKUP("LULUCF|NOx|Respiratory hospital admissions", US_national_yearly!$D:$AM, 36, FALSE) / VLOOKUP("LULUCF|NOx|Respiratory hospital admissions", US_national_yearly!$D:$AM, 10, FALSE), 1)</f>
        <v>3.2617666823911148E-5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1.2713847136137062E-4</v>
      </c>
      <c r="C13" s="7">
        <f>$B13 * IFERROR(VLOOKUP("LULUCF|NOx|Non-fatal heart attacks", US_national_yearly!$D:$AM, 11, FALSE) / VLOOKUP("LULUCF|NOx|Non-fatal heart attacks", US_national_yearly!$D:$AM, 10, FALSE), 1)</f>
        <v>1.3077324824145204E-4</v>
      </c>
      <c r="D13" s="7">
        <f>$B13 * IFERROR(VLOOKUP("LULUCF|NOx|Non-fatal heart attacks", US_national_yearly!$D:$AM, 12, FALSE) / VLOOKUP("LULUCF|NOx|Non-fatal heart attacks", US_national_yearly!$D:$AM, 10, FALSE), 1)</f>
        <v>1.3440802512153347E-4</v>
      </c>
      <c r="E13" s="7">
        <f>$B13 * IFERROR(VLOOKUP("LULUCF|NOx|Non-fatal heart attacks", US_national_yearly!$D:$AM, 13, FALSE) / VLOOKUP("LULUCF|NOx|Non-fatal heart attacks", US_national_yearly!$D:$AM, 10, FALSE), 1)</f>
        <v>1.3804280200161486E-4</v>
      </c>
      <c r="F13" s="7">
        <f>$B13 * IFERROR(VLOOKUP("LULUCF|NOx|Non-fatal heart attacks", US_national_yearly!$D:$AM, 14, FALSE) / VLOOKUP("LULUCF|NOx|Non-fatal heart attacks", US_national_yearly!$D:$AM, 10, FALSE), 1)</f>
        <v>1.4167757888169629E-4</v>
      </c>
      <c r="G13" s="7">
        <f>$B13 * IFERROR(VLOOKUP("LULUCF|NOx|Non-fatal heart attacks", US_national_yearly!$D:$AM, 15, FALSE) / VLOOKUP("LULUCF|NOx|Non-fatal heart attacks", US_national_yearly!$D:$AM, 10, FALSE), 1)</f>
        <v>1.4507427032180436E-4</v>
      </c>
      <c r="H13" s="7">
        <f>$B13 * IFERROR(VLOOKUP("LULUCF|NOx|Non-fatal heart attacks", US_national_yearly!$D:$AM, 16, FALSE) / VLOOKUP("LULUCF|NOx|Non-fatal heart attacks", US_national_yearly!$D:$AM, 10, FALSE), 1)</f>
        <v>1.484709617619124E-4</v>
      </c>
      <c r="I13" s="7">
        <f>$B13 * IFERROR(VLOOKUP("LULUCF|NOx|Non-fatal heart attacks", US_national_yearly!$D:$AM, 17, FALSE) / VLOOKUP("LULUCF|NOx|Non-fatal heart attacks", US_national_yearly!$D:$AM, 10, FALSE), 1)</f>
        <v>1.5114886468353258E-4</v>
      </c>
      <c r="J13" s="7">
        <f>$B13 * IFERROR(VLOOKUP("LULUCF|NOx|Non-fatal heart attacks", US_national_yearly!$D:$AM, 18, FALSE) / VLOOKUP("LULUCF|NOx|Non-fatal heart attacks", US_national_yearly!$D:$AM, 10, FALSE), 1)</f>
        <v>1.5382676760515281E-4</v>
      </c>
      <c r="K13" s="7">
        <f>$B13 * IFERROR(VLOOKUP("LULUCF|NOx|Non-fatal heart attacks", US_national_yearly!$D:$AM, 19, FALSE) / VLOOKUP("LULUCF|NOx|Non-fatal heart attacks", US_national_yearly!$D:$AM, 10, FALSE), 1)</f>
        <v>1.5650467052677293E-4</v>
      </c>
      <c r="L13" s="7">
        <f>$B13 * IFERROR(VLOOKUP("LULUCF|NOx|Non-fatal heart attacks", US_national_yearly!$D:$AM, 20, FALSE) / VLOOKUP("LULUCF|NOx|Non-fatal heart attacks", US_national_yearly!$D:$AM, 10, FALSE), 1)</f>
        <v>1.5918257344839324E-4</v>
      </c>
      <c r="M13" s="7">
        <f>$B13 * IFERROR(VLOOKUP("LULUCF|NOx|Non-fatal heart attacks", US_national_yearly!$D:$AM, 21, FALSE) / VLOOKUP("LULUCF|NOx|Non-fatal heart attacks", US_national_yearly!$D:$AM, 10, FALSE), 1)</f>
        <v>1.6186047637001339E-4</v>
      </c>
      <c r="N13" s="7">
        <f>$B13 * IFERROR(VLOOKUP("LULUCF|NOx|Non-fatal heart attacks", US_national_yearly!$D:$AM, 22, FALSE) / VLOOKUP("LULUCF|NOx|Non-fatal heart attacks", US_national_yearly!$D:$AM, 10, FALSE), 1)</f>
        <v>1.6347158397929124E-4</v>
      </c>
      <c r="O13" s="7">
        <f>$B13 * IFERROR(VLOOKUP("LULUCF|NOx|Non-fatal heart attacks", US_national_yearly!$D:$AM, 23, FALSE) / VLOOKUP("LULUCF|NOx|Non-fatal heart attacks", US_national_yearly!$D:$AM, 10, FALSE), 1)</f>
        <v>1.6508269158856909E-4</v>
      </c>
      <c r="P13" s="7">
        <f>$B13 * IFERROR(VLOOKUP("LULUCF|NOx|Non-fatal heart attacks", US_national_yearly!$D:$AM, 24, FALSE) / VLOOKUP("LULUCF|NOx|Non-fatal heart attacks", US_national_yearly!$D:$AM, 10, FALSE), 1)</f>
        <v>1.6669379919784688E-4</v>
      </c>
      <c r="Q13" s="7">
        <f>$B13 * IFERROR(VLOOKUP("LULUCF|NOx|Non-fatal heart attacks", US_national_yearly!$D:$AM, 25, FALSE) / VLOOKUP("LULUCF|NOx|Non-fatal heart attacks", US_national_yearly!$D:$AM, 10, FALSE), 1)</f>
        <v>1.6830490680712476E-4</v>
      </c>
      <c r="R13" s="7">
        <f>$B13 * IFERROR(VLOOKUP("LULUCF|NOx|Non-fatal heart attacks", US_national_yearly!$D:$AM, 26, FALSE) / VLOOKUP("LULUCF|NOx|Non-fatal heart attacks", US_national_yearly!$D:$AM, 10, FALSE), 1)</f>
        <v>1.6991601441640261E-4</v>
      </c>
      <c r="S13" s="7">
        <f>$B13 * IFERROR(VLOOKUP("LULUCF|NOx|Non-fatal heart attacks", US_national_yearly!$D:$AM, 27, FALSE) / VLOOKUP("LULUCF|NOx|Non-fatal heart attacks", US_national_yearly!$D:$AM, 10, FALSE), 1)</f>
        <v>1.7064682397099061E-4</v>
      </c>
      <c r="T13" s="7">
        <f>$B13 * IFERROR(VLOOKUP("LULUCF|NOx|Non-fatal heart attacks", US_national_yearly!$D:$AM, 28, FALSE) / VLOOKUP("LULUCF|NOx|Non-fatal heart attacks", US_national_yearly!$D:$AM, 10, FALSE), 1)</f>
        <v>1.713776335255786E-4</v>
      </c>
      <c r="U13" s="7">
        <f>$B13 * IFERROR(VLOOKUP("LULUCF|NOx|Non-fatal heart attacks", US_national_yearly!$D:$AM, 29, FALSE) / VLOOKUP("LULUCF|NOx|Non-fatal heart attacks", US_national_yearly!$D:$AM, 10, FALSE), 1)</f>
        <v>1.7210844308016663E-4</v>
      </c>
      <c r="V13" s="7">
        <f>$B13 * IFERROR(VLOOKUP("LULUCF|NOx|Non-fatal heart attacks", US_national_yearly!$D:$AM, 30, FALSE) / VLOOKUP("LULUCF|NOx|Non-fatal heart attacks", US_national_yearly!$D:$AM, 10, FALSE), 1)</f>
        <v>1.7283925263475463E-4</v>
      </c>
      <c r="W13" s="7">
        <f>$B13 * IFERROR(VLOOKUP("LULUCF|NOx|Non-fatal heart attacks", US_national_yearly!$D:$AM, 31, FALSE) / VLOOKUP("LULUCF|NOx|Non-fatal heart attacks", US_national_yearly!$D:$AM, 10, FALSE), 1)</f>
        <v>1.7357006218934263E-4</v>
      </c>
      <c r="X13" s="7">
        <f>$B13 * IFERROR(VLOOKUP("LULUCF|NOx|Non-fatal heart attacks", US_national_yearly!$D:$AM, 32, FALSE) / VLOOKUP("LULUCF|NOx|Non-fatal heart attacks", US_national_yearly!$D:$AM, 10, FALSE), 1)</f>
        <v>1.7405842758760933E-4</v>
      </c>
      <c r="Y13" s="7">
        <f>$B13 * IFERROR(VLOOKUP("LULUCF|NOx|Non-fatal heart attacks", US_national_yearly!$D:$AM, 33, FALSE) / VLOOKUP("LULUCF|NOx|Non-fatal heart attacks", US_national_yearly!$D:$AM, 10, FALSE), 1)</f>
        <v>1.7454679298587603E-4</v>
      </c>
      <c r="Z13" s="7">
        <f>$B13 * IFERROR(VLOOKUP("LULUCF|NOx|Non-fatal heart attacks", US_national_yearly!$D:$AM, 34, FALSE) / VLOOKUP("LULUCF|NOx|Non-fatal heart attacks", US_national_yearly!$D:$AM, 10, FALSE), 1)</f>
        <v>1.750351583841427E-4</v>
      </c>
      <c r="AA13" s="7">
        <f>$B13 * IFERROR(VLOOKUP("LULUCF|NOx|Non-fatal heart attacks", US_national_yearly!$D:$AM, 35, FALSE) / VLOOKUP("LULUCF|NOx|Non-fatal heart attacks", US_national_yearly!$D:$AM, 10, FALSE), 1)</f>
        <v>1.7552352378240937E-4</v>
      </c>
      <c r="AB13" s="7">
        <f>$B13 * IFERROR(VLOOKUP("LULUCF|NOx|Non-fatal heart attacks", US_national_yearly!$D:$AM, 36, FALSE) / VLOOKUP("LULUCF|NOx|Non-fatal heart attacks", US_national_yearly!$D:$AM, 10, FALSE), 1)</f>
        <v>1.7601188918067609E-4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9.6884846494438848E-2</v>
      </c>
      <c r="C14" s="7">
        <f>$B14 * IFERROR(VLOOKUP("LULUCF|NOx|Minor restricted activity days", US_national_yearly!$D:$AM, 11, FALSE) / VLOOKUP("LULUCF|NOx|Minor restricted activity days", US_national_yearly!$D:$AM, 10, FALSE), 1)</f>
        <v>9.7033387223196294E-2</v>
      </c>
      <c r="D14" s="7">
        <f>$B14 * IFERROR(VLOOKUP("LULUCF|NOx|Minor restricted activity days", US_national_yearly!$D:$AM, 12, FALSE) / VLOOKUP("LULUCF|NOx|Minor restricted activity days", US_national_yearly!$D:$AM, 10, FALSE), 1)</f>
        <v>9.7181927951953753E-2</v>
      </c>
      <c r="E14" s="7">
        <f>$B14 * IFERROR(VLOOKUP("LULUCF|NOx|Minor restricted activity days", US_national_yearly!$D:$AM, 13, FALSE) / VLOOKUP("LULUCF|NOx|Minor restricted activity days", US_national_yearly!$D:$AM, 10, FALSE), 1)</f>
        <v>9.7330468680711213E-2</v>
      </c>
      <c r="F14" s="7">
        <f>$B14 * IFERROR(VLOOKUP("LULUCF|NOx|Minor restricted activity days", US_national_yearly!$D:$AM, 14, FALSE) / VLOOKUP("LULUCF|NOx|Minor restricted activity days", US_national_yearly!$D:$AM, 10, FALSE), 1)</f>
        <v>9.7479009409468645E-2</v>
      </c>
      <c r="G14" s="7">
        <f>$B14 * IFERROR(VLOOKUP("LULUCF|NOx|Minor restricted activity days", US_national_yearly!$D:$AM, 15, FALSE) / VLOOKUP("LULUCF|NOx|Minor restricted activity days", US_national_yearly!$D:$AM, 10, FALSE), 1)</f>
        <v>9.7747238609873083E-2</v>
      </c>
      <c r="H14" s="7">
        <f>$B14 * IFERROR(VLOOKUP("LULUCF|NOx|Minor restricted activity days", US_national_yearly!$D:$AM, 16, FALSE) / VLOOKUP("LULUCF|NOx|Minor restricted activity days", US_national_yearly!$D:$AM, 10, FALSE), 1)</f>
        <v>9.8015467810277493E-2</v>
      </c>
      <c r="I14" s="7">
        <f>$B14 * IFERROR(VLOOKUP("LULUCF|NOx|Minor restricted activity days", US_national_yearly!$D:$AM, 17, FALSE) / VLOOKUP("LULUCF|NOx|Minor restricted activity days", US_national_yearly!$D:$AM, 10, FALSE), 1)</f>
        <v>9.8540113519388434E-2</v>
      </c>
      <c r="J14" s="7">
        <f>$B14 * IFERROR(VLOOKUP("LULUCF|NOx|Minor restricted activity days", US_national_yearly!$D:$AM, 18, FALSE) / VLOOKUP("LULUCF|NOx|Minor restricted activity days", US_national_yearly!$D:$AM, 10, FALSE), 1)</f>
        <v>9.9064759228499347E-2</v>
      </c>
      <c r="K14" s="7">
        <f>$B14 * IFERROR(VLOOKUP("LULUCF|NOx|Minor restricted activity days", US_national_yearly!$D:$AM, 19, FALSE) / VLOOKUP("LULUCF|NOx|Minor restricted activity days", US_national_yearly!$D:$AM, 10, FALSE), 1)</f>
        <v>9.9589404937610274E-2</v>
      </c>
      <c r="L14" s="7">
        <f>$B14 * IFERROR(VLOOKUP("LULUCF|NOx|Minor restricted activity days", US_national_yearly!$D:$AM, 20, FALSE) / VLOOKUP("LULUCF|NOx|Minor restricted activity days", US_national_yearly!$D:$AM, 10, FALSE), 1)</f>
        <v>0.1001140506467212</v>
      </c>
      <c r="M14" s="7">
        <f>$B14 * IFERROR(VLOOKUP("LULUCF|NOx|Minor restricted activity days", US_national_yearly!$D:$AM, 21, FALSE) / VLOOKUP("LULUCF|NOx|Minor restricted activity days", US_national_yearly!$D:$AM, 10, FALSE), 1)</f>
        <v>0.10063869635583213</v>
      </c>
      <c r="N14" s="7">
        <f>$B14 * IFERROR(VLOOKUP("LULUCF|NOx|Minor restricted activity days", US_national_yearly!$D:$AM, 22, FALSE) / VLOOKUP("LULUCF|NOx|Minor restricted activity days", US_national_yearly!$D:$AM, 10, FALSE), 1)</f>
        <v>0.10138987005044106</v>
      </c>
      <c r="O14" s="7">
        <f>$B14 * IFERROR(VLOOKUP("LULUCF|NOx|Minor restricted activity days", US_national_yearly!$D:$AM, 23, FALSE) / VLOOKUP("LULUCF|NOx|Minor restricted activity days", US_national_yearly!$D:$AM, 10, FALSE), 1)</f>
        <v>0.10214104374504999</v>
      </c>
      <c r="P14" s="7">
        <f>$B14 * IFERROR(VLOOKUP("LULUCF|NOx|Minor restricted activity days", US_national_yearly!$D:$AM, 24, FALSE) / VLOOKUP("LULUCF|NOx|Minor restricted activity days", US_national_yearly!$D:$AM, 10, FALSE), 1)</f>
        <v>0.10289221743965894</v>
      </c>
      <c r="Q14" s="7">
        <f>$B14 * IFERROR(VLOOKUP("LULUCF|NOx|Minor restricted activity days", US_national_yearly!$D:$AM, 25, FALSE) / VLOOKUP("LULUCF|NOx|Minor restricted activity days", US_national_yearly!$D:$AM, 10, FALSE), 1)</f>
        <v>0.10364339113426788</v>
      </c>
      <c r="R14" s="7">
        <f>$B14 * IFERROR(VLOOKUP("LULUCF|NOx|Minor restricted activity days", US_national_yearly!$D:$AM, 26, FALSE) / VLOOKUP("LULUCF|NOx|Minor restricted activity days", US_national_yearly!$D:$AM, 10, FALSE), 1)</f>
        <v>0.10439456482887681</v>
      </c>
      <c r="S14" s="7">
        <f>$B14 * IFERROR(VLOOKUP("LULUCF|NOx|Minor restricted activity days", US_national_yearly!$D:$AM, 27, FALSE) / VLOOKUP("LULUCF|NOx|Minor restricted activity days", US_national_yearly!$D:$AM, 10, FALSE), 1)</f>
        <v>0.10514558059082423</v>
      </c>
      <c r="T14" s="7">
        <f>$B14 * IFERROR(VLOOKUP("LULUCF|NOx|Minor restricted activity days", US_national_yearly!$D:$AM, 28, FALSE) / VLOOKUP("LULUCF|NOx|Minor restricted activity days", US_national_yearly!$D:$AM, 10, FALSE), 1)</f>
        <v>0.10589659635277161</v>
      </c>
      <c r="U14" s="7">
        <f>$B14 * IFERROR(VLOOKUP("LULUCF|NOx|Minor restricted activity days", US_national_yearly!$D:$AM, 29, FALSE) / VLOOKUP("LULUCF|NOx|Minor restricted activity days", US_national_yearly!$D:$AM, 10, FALSE), 1)</f>
        <v>0.10664761211471903</v>
      </c>
      <c r="V14" s="7">
        <f>$B14 * IFERROR(VLOOKUP("LULUCF|NOx|Minor restricted activity days", US_national_yearly!$D:$AM, 30, FALSE) / VLOOKUP("LULUCF|NOx|Minor restricted activity days", US_national_yearly!$D:$AM, 10, FALSE), 1)</f>
        <v>0.10739862787666644</v>
      </c>
      <c r="W14" s="7">
        <f>$B14 * IFERROR(VLOOKUP("LULUCF|NOx|Minor restricted activity days", US_national_yearly!$D:$AM, 31, FALSE) / VLOOKUP("LULUCF|NOx|Minor restricted activity days", US_national_yearly!$D:$AM, 10, FALSE), 1)</f>
        <v>0.10814964363861385</v>
      </c>
      <c r="X14" s="7">
        <f>$B14 * IFERROR(VLOOKUP("LULUCF|NOx|Minor restricted activity days", US_national_yearly!$D:$AM, 32, FALSE) / VLOOKUP("LULUCF|NOx|Minor restricted activity days", US_national_yearly!$D:$AM, 10, FALSE), 1)</f>
        <v>0.10878459885477168</v>
      </c>
      <c r="Y14" s="7">
        <f>$B14 * IFERROR(VLOOKUP("LULUCF|NOx|Minor restricted activity days", US_national_yearly!$D:$AM, 33, FALSE) / VLOOKUP("LULUCF|NOx|Minor restricted activity days", US_national_yearly!$D:$AM, 10, FALSE), 1)</f>
        <v>0.10941955407092951</v>
      </c>
      <c r="Z14" s="7">
        <f>$B14 * IFERROR(VLOOKUP("LULUCF|NOx|Minor restricted activity days", US_national_yearly!$D:$AM, 34, FALSE) / VLOOKUP("LULUCF|NOx|Minor restricted activity days", US_national_yearly!$D:$AM, 10, FALSE), 1)</f>
        <v>0.11005450928708736</v>
      </c>
      <c r="AA14" s="7">
        <f>$B14 * IFERROR(VLOOKUP("LULUCF|NOx|Minor restricted activity days", US_national_yearly!$D:$AM, 35, FALSE) / VLOOKUP("LULUCF|NOx|Minor restricted activity days", US_national_yearly!$D:$AM, 10, FALSE), 1)</f>
        <v>0.1106894645032452</v>
      </c>
      <c r="AB14" s="7">
        <f>$B14 * IFERROR(VLOOKUP("LULUCF|NOx|Minor restricted activity days", US_national_yearly!$D:$AM, 36, FALSE) / VLOOKUP("LULUCF|NOx|Minor restricted activity days", US_national_yearly!$D:$AM, 10, FALSE), 1)</f>
        <v>0.11132441971940303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1.6400130237267472E-2</v>
      </c>
      <c r="C15" s="7">
        <f>$B15 * IFERROR(VLOOKUP("LULUCF|NOx|Work loss days", US_national_yearly!$D:$AM, 11, FALSE) / VLOOKUP("LULUCF|NOx|Work loss days", US_national_yearly!$D:$AM, 10, FALSE), 1)</f>
        <v>1.6436611444708999E-2</v>
      </c>
      <c r="D15" s="7">
        <f>$B15 * IFERROR(VLOOKUP("LULUCF|NOx|Work loss days", US_national_yearly!$D:$AM, 12, FALSE) / VLOOKUP("LULUCF|NOx|Work loss days", US_national_yearly!$D:$AM, 10, FALSE), 1)</f>
        <v>1.6473092652150526E-2</v>
      </c>
      <c r="E15" s="7">
        <f>$B15 * IFERROR(VLOOKUP("LULUCF|NOx|Work loss days", US_national_yearly!$D:$AM, 13, FALSE) / VLOOKUP("LULUCF|NOx|Work loss days", US_national_yearly!$D:$AM, 10, FALSE), 1)</f>
        <v>1.6509573859592053E-2</v>
      </c>
      <c r="F15" s="7">
        <f>$B15 * IFERROR(VLOOKUP("LULUCF|NOx|Work loss days", US_national_yearly!$D:$AM, 14, FALSE) / VLOOKUP("LULUCF|NOx|Work loss days", US_national_yearly!$D:$AM, 10, FALSE), 1)</f>
        <v>1.6546055067033584E-2</v>
      </c>
      <c r="G15" s="7">
        <f>$B15 * IFERROR(VLOOKUP("LULUCF|NOx|Work loss days", US_national_yearly!$D:$AM, 15, FALSE) / VLOOKUP("LULUCF|NOx|Work loss days", US_national_yearly!$D:$AM, 10, FALSE), 1)</f>
        <v>1.6599317941099111E-2</v>
      </c>
      <c r="H15" s="7">
        <f>$B15 * IFERROR(VLOOKUP("LULUCF|NOx|Work loss days", US_national_yearly!$D:$AM, 16, FALSE) / VLOOKUP("LULUCF|NOx|Work loss days", US_national_yearly!$D:$AM, 10, FALSE), 1)</f>
        <v>1.6652580815164641E-2</v>
      </c>
      <c r="I15" s="7">
        <f>$B15 * IFERROR(VLOOKUP("LULUCF|NOx|Work loss days", US_national_yearly!$D:$AM, 17, FALSE) / VLOOKUP("LULUCF|NOx|Work loss days", US_national_yearly!$D:$AM, 10, FALSE), 1)</f>
        <v>1.673886378450453E-2</v>
      </c>
      <c r="J15" s="7">
        <f>$B15 * IFERROR(VLOOKUP("LULUCF|NOx|Work loss days", US_national_yearly!$D:$AM, 18, FALSE) / VLOOKUP("LULUCF|NOx|Work loss days", US_national_yearly!$D:$AM, 10, FALSE), 1)</f>
        <v>1.6825146753844424E-2</v>
      </c>
      <c r="K15" s="7">
        <f>$B15 * IFERROR(VLOOKUP("LULUCF|NOx|Work loss days", US_national_yearly!$D:$AM, 19, FALSE) / VLOOKUP("LULUCF|NOx|Work loss days", US_national_yearly!$D:$AM, 10, FALSE), 1)</f>
        <v>1.6911429723184317E-2</v>
      </c>
      <c r="L15" s="7">
        <f>$B15 * IFERROR(VLOOKUP("LULUCF|NOx|Work loss days", US_national_yearly!$D:$AM, 20, FALSE) / VLOOKUP("LULUCF|NOx|Work loss days", US_national_yearly!$D:$AM, 10, FALSE), 1)</f>
        <v>1.6997712692524206E-2</v>
      </c>
      <c r="M15" s="7">
        <f>$B15 * IFERROR(VLOOKUP("LULUCF|NOx|Work loss days", US_national_yearly!$D:$AM, 21, FALSE) / VLOOKUP("LULUCF|NOx|Work loss days", US_national_yearly!$D:$AM, 10, FALSE), 1)</f>
        <v>1.7083995661864099E-2</v>
      </c>
      <c r="N15" s="7">
        <f>$B15 * IFERROR(VLOOKUP("LULUCF|NOx|Work loss days", US_national_yearly!$D:$AM, 22, FALSE) / VLOOKUP("LULUCF|NOx|Work loss days", US_national_yearly!$D:$AM, 10, FALSE), 1)</f>
        <v>1.7196287651901131E-2</v>
      </c>
      <c r="O15" s="7">
        <f>$B15 * IFERROR(VLOOKUP("LULUCF|NOx|Work loss days", US_national_yearly!$D:$AM, 23, FALSE) / VLOOKUP("LULUCF|NOx|Work loss days", US_national_yearly!$D:$AM, 10, FALSE), 1)</f>
        <v>1.7308579641938163E-2</v>
      </c>
      <c r="P15" s="7">
        <f>$B15 * IFERROR(VLOOKUP("LULUCF|NOx|Work loss days", US_national_yearly!$D:$AM, 24, FALSE) / VLOOKUP("LULUCF|NOx|Work loss days", US_national_yearly!$D:$AM, 10, FALSE), 1)</f>
        <v>1.7420871631975199E-2</v>
      </c>
      <c r="Q15" s="7">
        <f>$B15 * IFERROR(VLOOKUP("LULUCF|NOx|Work loss days", US_national_yearly!$D:$AM, 25, FALSE) / VLOOKUP("LULUCF|NOx|Work loss days", US_national_yearly!$D:$AM, 10, FALSE), 1)</f>
        <v>1.7533163622012227E-2</v>
      </c>
      <c r="R15" s="7">
        <f>$B15 * IFERROR(VLOOKUP("LULUCF|NOx|Work loss days", US_national_yearly!$D:$AM, 26, FALSE) / VLOOKUP("LULUCF|NOx|Work loss days", US_national_yearly!$D:$AM, 10, FALSE), 1)</f>
        <v>1.7645455612049263E-2</v>
      </c>
      <c r="S15" s="7">
        <f>$B15 * IFERROR(VLOOKUP("LULUCF|NOx|Work loss days", US_national_yearly!$D:$AM, 27, FALSE) / VLOOKUP("LULUCF|NOx|Work loss days", US_national_yearly!$D:$AM, 10, FALSE), 1)</f>
        <v>1.7770646823061599E-2</v>
      </c>
      <c r="T15" s="7">
        <f>$B15 * IFERROR(VLOOKUP("LULUCF|NOx|Work loss days", US_national_yearly!$D:$AM, 28, FALSE) / VLOOKUP("LULUCF|NOx|Work loss days", US_national_yearly!$D:$AM, 10, FALSE), 1)</f>
        <v>1.7895838034073935E-2</v>
      </c>
      <c r="U15" s="7">
        <f>$B15 * IFERROR(VLOOKUP("LULUCF|NOx|Work loss days", US_national_yearly!$D:$AM, 29, FALSE) / VLOOKUP("LULUCF|NOx|Work loss days", US_national_yearly!$D:$AM, 10, FALSE), 1)</f>
        <v>1.8021029245086268E-2</v>
      </c>
      <c r="V15" s="7">
        <f>$B15 * IFERROR(VLOOKUP("LULUCF|NOx|Work loss days", US_national_yearly!$D:$AM, 30, FALSE) / VLOOKUP("LULUCF|NOx|Work loss days", US_national_yearly!$D:$AM, 10, FALSE), 1)</f>
        <v>1.8146220456098601E-2</v>
      </c>
      <c r="W15" s="7">
        <f>$B15 * IFERROR(VLOOKUP("LULUCF|NOx|Work loss days", US_national_yearly!$D:$AM, 31, FALSE) / VLOOKUP("LULUCF|NOx|Work loss days", US_national_yearly!$D:$AM, 10, FALSE), 1)</f>
        <v>1.8271411667110937E-2</v>
      </c>
      <c r="X15" s="7">
        <f>$B15 * IFERROR(VLOOKUP("LULUCF|NOx|Work loss days", US_national_yearly!$D:$AM, 32, FALSE) / VLOOKUP("LULUCF|NOx|Work loss days", US_national_yearly!$D:$AM, 10, FALSE), 1)</f>
        <v>1.8380070963482324E-2</v>
      </c>
      <c r="Y15" s="7">
        <f>$B15 * IFERROR(VLOOKUP("LULUCF|NOx|Work loss days", US_national_yearly!$D:$AM, 33, FALSE) / VLOOKUP("LULUCF|NOx|Work loss days", US_national_yearly!$D:$AM, 10, FALSE), 1)</f>
        <v>1.8488730259853713E-2</v>
      </c>
      <c r="Z15" s="7">
        <f>$B15 * IFERROR(VLOOKUP("LULUCF|NOx|Work loss days", US_national_yearly!$D:$AM, 34, FALSE) / VLOOKUP("LULUCF|NOx|Work loss days", US_national_yearly!$D:$AM, 10, FALSE), 1)</f>
        <v>1.85973895562251E-2</v>
      </c>
      <c r="AA15" s="7">
        <f>$B15 * IFERROR(VLOOKUP("LULUCF|NOx|Work loss days", US_national_yearly!$D:$AM, 35, FALSE) / VLOOKUP("LULUCF|NOx|Work loss days", US_national_yearly!$D:$AM, 10, FALSE), 1)</f>
        <v>1.8706048852596486E-2</v>
      </c>
      <c r="AB15" s="7">
        <f>$B15 * IFERROR(VLOOKUP("LULUCF|NOx|Work loss days", US_national_yearly!$D:$AM, 36, FALSE) / VLOOKUP("LULUCF|NOx|Work loss days", US_national_yearly!$D:$AM, 10, FALSE), 1)</f>
        <v>1.8814708148967872E-2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3.0010739838640654E-5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3.0892594376339083E-5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3.1774448914037512E-5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3.2656303451735935E-5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3.3538157989434371E-5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3.4375773963907763E-5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3.5213389938381169E-5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3.5917760354488128E-5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3.6622130770595093E-5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3.7326501186702059E-5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3.8030871602809018E-5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3.873524201891599E-5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3.9175708179270553E-5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3.9616174339625122E-5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4.0056640499979677E-5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4.0497106660334247E-5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4.0937572820688809E-5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4.11385454342461E-5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4.1339518047803391E-5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4.1540490661360682E-5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4.1741463274917972E-5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4.1942435888475263E-5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4.2054284115563007E-5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4.2166132342650743E-5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4.2277980569738487E-5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4.2389828796826223E-5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4.250167702391396E-5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2.9461953651268788E-4</v>
      </c>
      <c r="C2" s="7">
        <f>$B2 * IFERROR(VLOOKUP("LULUCF|SO2|Premature mortality", US_national_yearly!$D:$AM, 11, FALSE) / VLOOKUP("LULUCF|SO2|Premature mortality", US_national_yearly!$D:$AM, 10, FALSE), 1)</f>
        <v>2.9835073353446924E-4</v>
      </c>
      <c r="D2" s="7">
        <f>$B2 * IFERROR(VLOOKUP("LULUCF|SO2|Premature mortality", US_national_yearly!$D:$AM, 12, FALSE) / VLOOKUP("LULUCF|SO2|Premature mortality", US_national_yearly!$D:$AM, 10, FALSE), 1)</f>
        <v>3.0208193055625065E-4</v>
      </c>
      <c r="E2" s="7">
        <f>$B2 * IFERROR(VLOOKUP("LULUCF|SO2|Premature mortality", US_national_yearly!$D:$AM, 13, FALSE) / VLOOKUP("LULUCF|SO2|Premature mortality", US_national_yearly!$D:$AM, 10, FALSE), 1)</f>
        <v>3.0581312757803195E-4</v>
      </c>
      <c r="F2" s="7">
        <f>$B2 * IFERROR(VLOOKUP("LULUCF|SO2|Premature mortality", US_national_yearly!$D:$AM, 14, FALSE) / VLOOKUP("LULUCF|SO2|Premature mortality", US_national_yearly!$D:$AM, 10, FALSE), 1)</f>
        <v>3.0954432459981331E-4</v>
      </c>
      <c r="G2" s="7">
        <f>$B2 * IFERROR(VLOOKUP("LULUCF|SO2|Premature mortality", US_national_yearly!$D:$AM, 15, FALSE) / VLOOKUP("LULUCF|SO2|Premature mortality", US_national_yearly!$D:$AM, 10, FALSE), 1)</f>
        <v>3.167341297994791E-4</v>
      </c>
      <c r="H2" s="7">
        <f>$B2 * IFERROR(VLOOKUP("LULUCF|SO2|Premature mortality", US_national_yearly!$D:$AM, 16, FALSE) / VLOOKUP("LULUCF|SO2|Premature mortality", US_national_yearly!$D:$AM, 10, FALSE), 1)</f>
        <v>3.2392393499914484E-4</v>
      </c>
      <c r="I2" s="7">
        <f>$B2 * IFERROR(VLOOKUP("LULUCF|SO2|Premature mortality", US_national_yearly!$D:$AM, 17, FALSE) / VLOOKUP("LULUCF|SO2|Premature mortality", US_national_yearly!$D:$AM, 10, FALSE), 1)</f>
        <v>3.2867539882334751E-4</v>
      </c>
      <c r="J2" s="7">
        <f>$B2 * IFERROR(VLOOKUP("LULUCF|SO2|Premature mortality", US_national_yearly!$D:$AM, 18, FALSE) / VLOOKUP("LULUCF|SO2|Premature mortality", US_national_yearly!$D:$AM, 10, FALSE), 1)</f>
        <v>3.3342686264755013E-4</v>
      </c>
      <c r="K2" s="7">
        <f>$B2 * IFERROR(VLOOKUP("LULUCF|SO2|Premature mortality", US_national_yearly!$D:$AM, 19, FALSE) / VLOOKUP("LULUCF|SO2|Premature mortality", US_national_yearly!$D:$AM, 10, FALSE), 1)</f>
        <v>3.3817832647175269E-4</v>
      </c>
      <c r="L2" s="7">
        <f>$B2 * IFERROR(VLOOKUP("LULUCF|SO2|Premature mortality", US_national_yearly!$D:$AM, 20, FALSE) / VLOOKUP("LULUCF|SO2|Premature mortality", US_national_yearly!$D:$AM, 10, FALSE), 1)</f>
        <v>3.4292979029595531E-4</v>
      </c>
      <c r="M2" s="7">
        <f>$B2 * IFERROR(VLOOKUP("LULUCF|SO2|Premature mortality", US_national_yearly!$D:$AM, 21, FALSE) / VLOOKUP("LULUCF|SO2|Premature mortality", US_national_yearly!$D:$AM, 10, FALSE), 1)</f>
        <v>3.4768125412015793E-4</v>
      </c>
      <c r="N2" s="7">
        <f>$B2 * IFERROR(VLOOKUP("LULUCF|SO2|Premature mortality", US_national_yearly!$D:$AM, 22, FALSE) / VLOOKUP("LULUCF|SO2|Premature mortality", US_national_yearly!$D:$AM, 10, FALSE), 1)</f>
        <v>3.5139379022003614E-4</v>
      </c>
      <c r="O2" s="7">
        <f>$B2 * IFERROR(VLOOKUP("LULUCF|SO2|Premature mortality", US_national_yearly!$D:$AM, 23, FALSE) / VLOOKUP("LULUCF|SO2|Premature mortality", US_national_yearly!$D:$AM, 10, FALSE), 1)</f>
        <v>3.5510632631991434E-4</v>
      </c>
      <c r="P2" s="7">
        <f>$B2 * IFERROR(VLOOKUP("LULUCF|SO2|Premature mortality", US_national_yearly!$D:$AM, 24, FALSE) / VLOOKUP("LULUCF|SO2|Premature mortality", US_national_yearly!$D:$AM, 10, FALSE), 1)</f>
        <v>3.5881886241979249E-4</v>
      </c>
      <c r="Q2" s="7">
        <f>$B2 * IFERROR(VLOOKUP("LULUCF|SO2|Premature mortality", US_national_yearly!$D:$AM, 25, FALSE) / VLOOKUP("LULUCF|SO2|Premature mortality", US_national_yearly!$D:$AM, 10, FALSE), 1)</f>
        <v>3.6253139851967069E-4</v>
      </c>
      <c r="R2" s="7">
        <f>$B2 * IFERROR(VLOOKUP("LULUCF|SO2|Premature mortality", US_national_yearly!$D:$AM, 26, FALSE) / VLOOKUP("LULUCF|SO2|Premature mortality", US_national_yearly!$D:$AM, 10, FALSE), 1)</f>
        <v>3.6624393461954878E-4</v>
      </c>
      <c r="S2" s="7">
        <f>$B2 * IFERROR(VLOOKUP("LULUCF|SO2|Premature mortality", US_national_yearly!$D:$AM, 27, FALSE) / VLOOKUP("LULUCF|SO2|Premature mortality", US_national_yearly!$D:$AM, 10, FALSE), 1)</f>
        <v>3.6823204713419143E-4</v>
      </c>
      <c r="T2" s="7">
        <f>$B2 * IFERROR(VLOOKUP("LULUCF|SO2|Premature mortality", US_national_yearly!$D:$AM, 28, FALSE) / VLOOKUP("LULUCF|SO2|Premature mortality", US_national_yearly!$D:$AM, 10, FALSE), 1)</f>
        <v>3.7022015964883402E-4</v>
      </c>
      <c r="U2" s="7">
        <f>$B2 * IFERROR(VLOOKUP("LULUCF|SO2|Premature mortality", US_national_yearly!$D:$AM, 29, FALSE) / VLOOKUP("LULUCF|SO2|Premature mortality", US_national_yearly!$D:$AM, 10, FALSE), 1)</f>
        <v>3.7220827216347666E-4</v>
      </c>
      <c r="V2" s="7">
        <f>$B2 * IFERROR(VLOOKUP("LULUCF|SO2|Premature mortality", US_national_yearly!$D:$AM, 30, FALSE) / VLOOKUP("LULUCF|SO2|Premature mortality", US_national_yearly!$D:$AM, 10, FALSE), 1)</f>
        <v>3.7419638467811925E-4</v>
      </c>
      <c r="W2" s="7">
        <f>$B2 * IFERROR(VLOOKUP("LULUCF|SO2|Premature mortality", US_national_yearly!$D:$AM, 31, FALSE) / VLOOKUP("LULUCF|SO2|Premature mortality", US_national_yearly!$D:$AM, 10, FALSE), 1)</f>
        <v>3.761844971927619E-4</v>
      </c>
      <c r="X2" s="7">
        <f>$B2 * IFERROR(VLOOKUP("LULUCF|SO2|Premature mortality", US_national_yearly!$D:$AM, 32, FALSE) / VLOOKUP("LULUCF|SO2|Premature mortality", US_national_yearly!$D:$AM, 10, FALSE), 1)</f>
        <v>3.7658838833129038E-4</v>
      </c>
      <c r="Y2" s="7">
        <f>$B2 * IFERROR(VLOOKUP("LULUCF|SO2|Premature mortality", US_national_yearly!$D:$AM, 33, FALSE) / VLOOKUP("LULUCF|SO2|Premature mortality", US_national_yearly!$D:$AM, 10, FALSE), 1)</f>
        <v>3.7699227946981896E-4</v>
      </c>
      <c r="Z2" s="7">
        <f>$B2 * IFERROR(VLOOKUP("LULUCF|SO2|Premature mortality", US_national_yearly!$D:$AM, 34, FALSE) / VLOOKUP("LULUCF|SO2|Premature mortality", US_national_yearly!$D:$AM, 10, FALSE), 1)</f>
        <v>3.7739617060834749E-4</v>
      </c>
      <c r="AA2" s="7">
        <f>$B2 * IFERROR(VLOOKUP("LULUCF|SO2|Premature mortality", US_national_yearly!$D:$AM, 35, FALSE) / VLOOKUP("LULUCF|SO2|Premature mortality", US_national_yearly!$D:$AM, 10, FALSE), 1)</f>
        <v>3.7780006174687603E-4</v>
      </c>
      <c r="AB2" s="7">
        <f>$B2 * IFERROR(VLOOKUP("LULUCF|SO2|Premature mortality", US_national_yearly!$D:$AM, 36, FALSE) / VLOOKUP("LULUCF|SO2|Premature mortality", US_national_yearly!$D:$AM, 10, FALSE), 1)</f>
        <v>3.7820395288540456E-4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4.5533565584450081E-7</v>
      </c>
      <c r="C3" s="7">
        <f>$B3 * IFERROR(VLOOKUP("LULUCF|SO2|Infant mortality", US_national_yearly!$D:$AM, 11, FALSE) / VLOOKUP("LULUCF|SO2|Infant mortality", US_national_yearly!$D:$AM, 10, FALSE), 1)</f>
        <v>4.5142423950503627E-7</v>
      </c>
      <c r="D3" s="7">
        <f>$B3 * IFERROR(VLOOKUP("LULUCF|SO2|Infant mortality", US_national_yearly!$D:$AM, 12, FALSE) / VLOOKUP("LULUCF|SO2|Infant mortality", US_national_yearly!$D:$AM, 10, FALSE), 1)</f>
        <v>4.4751282316557174E-7</v>
      </c>
      <c r="E3" s="7">
        <f>$B3 * IFERROR(VLOOKUP("LULUCF|SO2|Infant mortality", US_national_yearly!$D:$AM, 13, FALSE) / VLOOKUP("LULUCF|SO2|Infant mortality", US_national_yearly!$D:$AM, 10, FALSE), 1)</f>
        <v>4.4360140682610715E-7</v>
      </c>
      <c r="F3" s="7">
        <f>$B3 * IFERROR(VLOOKUP("LULUCF|SO2|Infant mortality", US_national_yearly!$D:$AM, 14, FALSE) / VLOOKUP("LULUCF|SO2|Infant mortality", US_national_yearly!$D:$AM, 10, FALSE), 1)</f>
        <v>4.3968999048664267E-7</v>
      </c>
      <c r="G3" s="7">
        <f>$B3 * IFERROR(VLOOKUP("LULUCF|SO2|Infant mortality", US_national_yearly!$D:$AM, 15, FALSE) / VLOOKUP("LULUCF|SO2|Infant mortality", US_national_yearly!$D:$AM, 10, FALSE), 1)</f>
        <v>2.9286894699095178E-7</v>
      </c>
      <c r="H3" s="7">
        <f>$B3 * IFERROR(VLOOKUP("LULUCF|SO2|Infant mortality", US_national_yearly!$D:$AM, 16, FALSE) / VLOOKUP("LULUCF|SO2|Infant mortality", US_national_yearly!$D:$AM, 10, FALSE), 1)</f>
        <v>1.4604790349526115E-7</v>
      </c>
      <c r="I3" s="7">
        <f>$B3 * IFERROR(VLOOKUP("LULUCF|SO2|Infant mortality", US_national_yearly!$D:$AM, 17, FALSE) / VLOOKUP("LULUCF|SO2|Infant mortality", US_national_yearly!$D:$AM, 10, FALSE), 1)</f>
        <v>1.4513170089395508E-7</v>
      </c>
      <c r="J3" s="7">
        <f>$B3 * IFERROR(VLOOKUP("LULUCF|SO2|Infant mortality", US_national_yearly!$D:$AM, 18, FALSE) / VLOOKUP("LULUCF|SO2|Infant mortality", US_national_yearly!$D:$AM, 10, FALSE), 1)</f>
        <v>1.4421549829264899E-7</v>
      </c>
      <c r="K3" s="7">
        <f>$B3 * IFERROR(VLOOKUP("LULUCF|SO2|Infant mortality", US_national_yearly!$D:$AM, 19, FALSE) / VLOOKUP("LULUCF|SO2|Infant mortality", US_national_yearly!$D:$AM, 10, FALSE), 1)</f>
        <v>1.4329929569134289E-7</v>
      </c>
      <c r="L3" s="7">
        <f>$B3 * IFERROR(VLOOKUP("LULUCF|SO2|Infant mortality", US_national_yearly!$D:$AM, 20, FALSE) / VLOOKUP("LULUCF|SO2|Infant mortality", US_national_yearly!$D:$AM, 10, FALSE), 1)</f>
        <v>1.4238309309003683E-7</v>
      </c>
      <c r="M3" s="7">
        <f>$B3 * IFERROR(VLOOKUP("LULUCF|SO2|Infant mortality", US_national_yearly!$D:$AM, 21, FALSE) / VLOOKUP("LULUCF|SO2|Infant mortality", US_national_yearly!$D:$AM, 10, FALSE), 1)</f>
        <v>1.4146689048873073E-7</v>
      </c>
      <c r="N3" s="7">
        <f>$B3 * IFERROR(VLOOKUP("LULUCF|SO2|Infant mortality", US_national_yearly!$D:$AM, 22, FALSE) / VLOOKUP("LULUCF|SO2|Infant mortality", US_national_yearly!$D:$AM, 10, FALSE), 1)</f>
        <v>1.4089179697519032E-7</v>
      </c>
      <c r="O3" s="7">
        <f>$B3 * IFERROR(VLOOKUP("LULUCF|SO2|Infant mortality", US_national_yearly!$D:$AM, 23, FALSE) / VLOOKUP("LULUCF|SO2|Infant mortality", US_national_yearly!$D:$AM, 10, FALSE), 1)</f>
        <v>1.403167034616499E-7</v>
      </c>
      <c r="P3" s="7">
        <f>$B3 * IFERROR(VLOOKUP("LULUCF|SO2|Infant mortality", US_national_yearly!$D:$AM, 24, FALSE) / VLOOKUP("LULUCF|SO2|Infant mortality", US_national_yearly!$D:$AM, 10, FALSE), 1)</f>
        <v>1.3974160994810946E-7</v>
      </c>
      <c r="Q3" s="7">
        <f>$B3 * IFERROR(VLOOKUP("LULUCF|SO2|Infant mortality", US_national_yearly!$D:$AM, 25, FALSE) / VLOOKUP("LULUCF|SO2|Infant mortality", US_national_yearly!$D:$AM, 10, FALSE), 1)</f>
        <v>1.3916651643456905E-7</v>
      </c>
      <c r="R3" s="7">
        <f>$B3 * IFERROR(VLOOKUP("LULUCF|SO2|Infant mortality", US_national_yearly!$D:$AM, 26, FALSE) / VLOOKUP("LULUCF|SO2|Infant mortality", US_national_yearly!$D:$AM, 10, FALSE), 1)</f>
        <v>1.385914229210286E-7</v>
      </c>
      <c r="S3" s="7">
        <f>$B3 * IFERROR(VLOOKUP("LULUCF|SO2|Infant mortality", US_national_yearly!$D:$AM, 27, FALSE) / VLOOKUP("LULUCF|SO2|Infant mortality", US_national_yearly!$D:$AM, 10, FALSE), 1)</f>
        <v>1.3786935797933179E-7</v>
      </c>
      <c r="T3" s="7">
        <f>$B3 * IFERROR(VLOOKUP("LULUCF|SO2|Infant mortality", US_national_yearly!$D:$AM, 28, FALSE) / VLOOKUP("LULUCF|SO2|Infant mortality", US_national_yearly!$D:$AM, 10, FALSE), 1)</f>
        <v>1.3714729303763498E-7</v>
      </c>
      <c r="U3" s="7">
        <f>$B3 * IFERROR(VLOOKUP("LULUCF|SO2|Infant mortality", US_national_yearly!$D:$AM, 29, FALSE) / VLOOKUP("LULUCF|SO2|Infant mortality", US_national_yearly!$D:$AM, 10, FALSE), 1)</f>
        <v>1.3642522809593811E-7</v>
      </c>
      <c r="V3" s="7">
        <f>$B3 * IFERROR(VLOOKUP("LULUCF|SO2|Infant mortality", US_national_yearly!$D:$AM, 30, FALSE) / VLOOKUP("LULUCF|SO2|Infant mortality", US_national_yearly!$D:$AM, 10, FALSE), 1)</f>
        <v>1.3570316315424133E-7</v>
      </c>
      <c r="W3" s="7">
        <f>$B3 * IFERROR(VLOOKUP("LULUCF|SO2|Infant mortality", US_national_yearly!$D:$AM, 31, FALSE) / VLOOKUP("LULUCF|SO2|Infant mortality", US_national_yearly!$D:$AM, 10, FALSE), 1)</f>
        <v>1.3498109821254449E-7</v>
      </c>
      <c r="X3" s="7">
        <f>$B3 * IFERROR(VLOOKUP("LULUCF|SO2|Infant mortality", US_national_yearly!$D:$AM, 32, FALSE) / VLOOKUP("LULUCF|SO2|Infant mortality", US_national_yearly!$D:$AM, 10, FALSE), 1)</f>
        <v>1.3419165834998834E-7</v>
      </c>
      <c r="Y3" s="7">
        <f>$B3 * IFERROR(VLOOKUP("LULUCF|SO2|Infant mortality", US_national_yearly!$D:$AM, 33, FALSE) / VLOOKUP("LULUCF|SO2|Infant mortality", US_national_yearly!$D:$AM, 10, FALSE), 1)</f>
        <v>1.3340221848743217E-7</v>
      </c>
      <c r="Z3" s="7">
        <f>$B3 * IFERROR(VLOOKUP("LULUCF|SO2|Infant mortality", US_national_yearly!$D:$AM, 34, FALSE) / VLOOKUP("LULUCF|SO2|Infant mortality", US_national_yearly!$D:$AM, 10, FALSE), 1)</f>
        <v>1.3261277862487602E-7</v>
      </c>
      <c r="AA3" s="7">
        <f>$B3 * IFERROR(VLOOKUP("LULUCF|SO2|Infant mortality", US_national_yearly!$D:$AM, 35, FALSE) / VLOOKUP("LULUCF|SO2|Infant mortality", US_national_yearly!$D:$AM, 10, FALSE), 1)</f>
        <v>1.3182333876231984E-7</v>
      </c>
      <c r="AB3" s="7">
        <f>$B3 * IFERROR(VLOOKUP("LULUCF|SO2|Infant mortality", US_national_yearly!$D:$AM, 36, FALSE) / VLOOKUP("LULUCF|SO2|Infant mortality", US_national_yearly!$D:$AM, 10, FALSE), 1)</f>
        <v>1.3103389889976369E-7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6.8800587273550723E-4</v>
      </c>
      <c r="C6" s="7">
        <f>$B6 * IFERROR(VLOOKUP("LULUCF|SO2|Asthma symptoms cough", US_national_yearly!$D:$AM, 11, FALSE) / VLOOKUP("LULUCF|SO2|Asthma symptoms cough", US_national_yearly!$D:$AM, 10, FALSE), 1)</f>
        <v>6.8800587273550723E-4</v>
      </c>
      <c r="D6" s="7">
        <f>$B6 * IFERROR(VLOOKUP("LULUCF|SO2|Asthma symptoms cough", US_national_yearly!$D:$AM, 12, FALSE) / VLOOKUP("LULUCF|SO2|Asthma symptoms cough", US_national_yearly!$D:$AM, 10, FALSE), 1)</f>
        <v>6.8800587273550723E-4</v>
      </c>
      <c r="E6" s="7">
        <f>$B6 * IFERROR(VLOOKUP("LULUCF|SO2|Asthma symptoms cough", US_national_yearly!$D:$AM, 13, FALSE) / VLOOKUP("LULUCF|SO2|Asthma symptoms cough", US_national_yearly!$D:$AM, 10, FALSE), 1)</f>
        <v>6.8800587273550723E-4</v>
      </c>
      <c r="F6" s="7">
        <f>$B6 * IFERROR(VLOOKUP("LULUCF|SO2|Asthma symptoms cough", US_national_yearly!$D:$AM, 14, FALSE) / VLOOKUP("LULUCF|SO2|Asthma symptoms cough", US_national_yearly!$D:$AM, 10, FALSE), 1)</f>
        <v>6.8800587273550723E-4</v>
      </c>
      <c r="G6" s="7">
        <f>$B6 * IFERROR(VLOOKUP("LULUCF|SO2|Asthma symptoms cough", US_national_yearly!$D:$AM, 15, FALSE) / VLOOKUP("LULUCF|SO2|Asthma symptoms cough", US_national_yearly!$D:$AM, 10, FALSE), 1)</f>
        <v>6.8800587273550723E-4</v>
      </c>
      <c r="H6" s="7">
        <f>$B6 * IFERROR(VLOOKUP("LULUCF|SO2|Asthma symptoms cough", US_national_yearly!$D:$AM, 16, FALSE) / VLOOKUP("LULUCF|SO2|Asthma symptoms cough", US_national_yearly!$D:$AM, 10, FALSE), 1)</f>
        <v>6.8800587273550723E-4</v>
      </c>
      <c r="I6" s="7">
        <f>$B6 * IFERROR(VLOOKUP("LULUCF|SO2|Asthma symptoms cough", US_national_yearly!$D:$AM, 17, FALSE) / VLOOKUP("LULUCF|SO2|Asthma symptoms cough", US_national_yearly!$D:$AM, 10, FALSE), 1)</f>
        <v>6.8800587273550723E-4</v>
      </c>
      <c r="J6" s="7">
        <f>$B6 * IFERROR(VLOOKUP("LULUCF|SO2|Asthma symptoms cough", US_national_yearly!$D:$AM, 18, FALSE) / VLOOKUP("LULUCF|SO2|Asthma symptoms cough", US_national_yearly!$D:$AM, 10, FALSE), 1)</f>
        <v>6.8800587273550723E-4</v>
      </c>
      <c r="K6" s="7">
        <f>$B6 * IFERROR(VLOOKUP("LULUCF|SO2|Asthma symptoms cough", US_national_yearly!$D:$AM, 19, FALSE) / VLOOKUP("LULUCF|SO2|Asthma symptoms cough", US_national_yearly!$D:$AM, 10, FALSE), 1)</f>
        <v>6.8800587273550723E-4</v>
      </c>
      <c r="L6" s="7">
        <f>$B6 * IFERROR(VLOOKUP("LULUCF|SO2|Asthma symptoms cough", US_national_yearly!$D:$AM, 20, FALSE) / VLOOKUP("LULUCF|SO2|Asthma symptoms cough", US_national_yearly!$D:$AM, 10, FALSE), 1)</f>
        <v>6.8800587273550723E-4</v>
      </c>
      <c r="M6" s="7">
        <f>$B6 * IFERROR(VLOOKUP("LULUCF|SO2|Asthma symptoms cough", US_national_yearly!$D:$AM, 21, FALSE) / VLOOKUP("LULUCF|SO2|Asthma symptoms cough", US_national_yearly!$D:$AM, 10, FALSE), 1)</f>
        <v>6.8800587273550723E-4</v>
      </c>
      <c r="N6" s="7">
        <f>$B6 * IFERROR(VLOOKUP("LULUCF|SO2|Asthma symptoms cough", US_national_yearly!$D:$AM, 22, FALSE) / VLOOKUP("LULUCF|SO2|Asthma symptoms cough", US_national_yearly!$D:$AM, 10, FALSE), 1)</f>
        <v>6.8800587273550723E-4</v>
      </c>
      <c r="O6" s="7">
        <f>$B6 * IFERROR(VLOOKUP("LULUCF|SO2|Asthma symptoms cough", US_national_yearly!$D:$AM, 23, FALSE) / VLOOKUP("LULUCF|SO2|Asthma symptoms cough", US_national_yearly!$D:$AM, 10, FALSE), 1)</f>
        <v>6.8800587273550723E-4</v>
      </c>
      <c r="P6" s="7">
        <f>$B6 * IFERROR(VLOOKUP("LULUCF|SO2|Asthma symptoms cough", US_national_yearly!$D:$AM, 24, FALSE) / VLOOKUP("LULUCF|SO2|Asthma symptoms cough", US_national_yearly!$D:$AM, 10, FALSE), 1)</f>
        <v>6.8800587273550723E-4</v>
      </c>
      <c r="Q6" s="7">
        <f>$B6 * IFERROR(VLOOKUP("LULUCF|SO2|Asthma symptoms cough", US_national_yearly!$D:$AM, 25, FALSE) / VLOOKUP("LULUCF|SO2|Asthma symptoms cough", US_national_yearly!$D:$AM, 10, FALSE), 1)</f>
        <v>6.8800587273550723E-4</v>
      </c>
      <c r="R6" s="7">
        <f>$B6 * IFERROR(VLOOKUP("LULUCF|SO2|Asthma symptoms cough", US_national_yearly!$D:$AM, 26, FALSE) / VLOOKUP("LULUCF|SO2|Asthma symptoms cough", US_national_yearly!$D:$AM, 10, FALSE), 1)</f>
        <v>6.8800587273550723E-4</v>
      </c>
      <c r="S6" s="7">
        <f>$B6 * IFERROR(VLOOKUP("LULUCF|SO2|Asthma symptoms cough", US_national_yearly!$D:$AM, 27, FALSE) / VLOOKUP("LULUCF|SO2|Asthma symptoms cough", US_national_yearly!$D:$AM, 10, FALSE), 1)</f>
        <v>6.8800587273550723E-4</v>
      </c>
      <c r="T6" s="7">
        <f>$B6 * IFERROR(VLOOKUP("LULUCF|SO2|Asthma symptoms cough", US_national_yearly!$D:$AM, 28, FALSE) / VLOOKUP("LULUCF|SO2|Asthma symptoms cough", US_national_yearly!$D:$AM, 10, FALSE), 1)</f>
        <v>6.8800587273550723E-4</v>
      </c>
      <c r="U6" s="7">
        <f>$B6 * IFERROR(VLOOKUP("LULUCF|SO2|Asthma symptoms cough", US_national_yearly!$D:$AM, 29, FALSE) / VLOOKUP("LULUCF|SO2|Asthma symptoms cough", US_national_yearly!$D:$AM, 10, FALSE), 1)</f>
        <v>6.8800587273550723E-4</v>
      </c>
      <c r="V6" s="7">
        <f>$B6 * IFERROR(VLOOKUP("LULUCF|SO2|Asthma symptoms cough", US_national_yearly!$D:$AM, 30, FALSE) / VLOOKUP("LULUCF|SO2|Asthma symptoms cough", US_national_yearly!$D:$AM, 10, FALSE), 1)</f>
        <v>6.8800587273550723E-4</v>
      </c>
      <c r="W6" s="7">
        <f>$B6 * IFERROR(VLOOKUP("LULUCF|SO2|Asthma symptoms cough", US_national_yearly!$D:$AM, 31, FALSE) / VLOOKUP("LULUCF|SO2|Asthma symptoms cough", US_national_yearly!$D:$AM, 10, FALSE), 1)</f>
        <v>6.8800587273550723E-4</v>
      </c>
      <c r="X6" s="7">
        <f>$B6 * IFERROR(VLOOKUP("LULUCF|SO2|Asthma symptoms cough", US_national_yearly!$D:$AM, 32, FALSE) / VLOOKUP("LULUCF|SO2|Asthma symptoms cough", US_national_yearly!$D:$AM, 10, FALSE), 1)</f>
        <v>6.8800587273550723E-4</v>
      </c>
      <c r="Y6" s="7">
        <f>$B6 * IFERROR(VLOOKUP("LULUCF|SO2|Asthma symptoms cough", US_national_yearly!$D:$AM, 33, FALSE) / VLOOKUP("LULUCF|SO2|Asthma symptoms cough", US_national_yearly!$D:$AM, 10, FALSE), 1)</f>
        <v>6.8800587273550723E-4</v>
      </c>
      <c r="Z6" s="7">
        <f>$B6 * IFERROR(VLOOKUP("LULUCF|SO2|Asthma symptoms cough", US_national_yearly!$D:$AM, 34, FALSE) / VLOOKUP("LULUCF|SO2|Asthma symptoms cough", US_national_yearly!$D:$AM, 10, FALSE), 1)</f>
        <v>6.8800587273550723E-4</v>
      </c>
      <c r="AA6" s="7">
        <f>$B6 * IFERROR(VLOOKUP("LULUCF|SO2|Asthma symptoms cough", US_national_yearly!$D:$AM, 35, FALSE) / VLOOKUP("LULUCF|SO2|Asthma symptoms cough", US_national_yearly!$D:$AM, 10, FALSE), 1)</f>
        <v>6.8800587273550723E-4</v>
      </c>
      <c r="AB6" s="7">
        <f>$B6 * IFERROR(VLOOKUP("LULUCF|SO2|Asthma symptoms cough", US_national_yearly!$D:$AM, 36, FALSE) / VLOOKUP("LULUCF|SO2|Asthma symptoms cough", US_national_yearly!$D:$AM, 10, FALSE), 1)</f>
        <v>6.8800587273550723E-4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9.2649962929465405E-4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9.2649962929465405E-4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9.2649962929465405E-4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9.2649962929465405E-4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9.2649962929465405E-4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9.2649962929465405E-4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9.2649962929465405E-4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9.2649962929465405E-4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9.2649962929465405E-4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9.2649962929465405E-4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9.2649962929465405E-4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9.2649962929465405E-4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9.2649962929465405E-4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9.2649962929465405E-4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9.2649962929465405E-4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9.2649962929465405E-4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9.2649962929465405E-4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9.2649962929465405E-4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9.2649962929465405E-4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9.2649962929465405E-4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9.2649962929465405E-4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9.2649962929465405E-4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9.2649962929465405E-4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9.2649962929465405E-4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9.2649962929465405E-4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9.2649962929465405E-4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9.2649962929465405E-4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1.4155348105778654E-3</v>
      </c>
      <c r="C8" s="7">
        <f>$B8 * IFERROR(VLOOKUP("LULUCF|SO2|Asthma symptoms wheeze", US_national_yearly!$D:$AM, 11, FALSE) / VLOOKUP("LULUCF|SO2|Asthma symptoms wheeze", US_national_yearly!$D:$AM, 10, FALSE), 1)</f>
        <v>1.4155348105778654E-3</v>
      </c>
      <c r="D8" s="7">
        <f>$B8 * IFERROR(VLOOKUP("LULUCF|SO2|Asthma symptoms wheeze", US_national_yearly!$D:$AM, 12, FALSE) / VLOOKUP("LULUCF|SO2|Asthma symptoms wheeze", US_national_yearly!$D:$AM, 10, FALSE), 1)</f>
        <v>1.4155348105778654E-3</v>
      </c>
      <c r="E8" s="7">
        <f>$B8 * IFERROR(VLOOKUP("LULUCF|SO2|Asthma symptoms wheeze", US_national_yearly!$D:$AM, 13, FALSE) / VLOOKUP("LULUCF|SO2|Asthma symptoms wheeze", US_national_yearly!$D:$AM, 10, FALSE), 1)</f>
        <v>1.4155348105778654E-3</v>
      </c>
      <c r="F8" s="7">
        <f>$B8 * IFERROR(VLOOKUP("LULUCF|SO2|Asthma symptoms wheeze", US_national_yearly!$D:$AM, 14, FALSE) / VLOOKUP("LULUCF|SO2|Asthma symptoms wheeze", US_national_yearly!$D:$AM, 10, FALSE), 1)</f>
        <v>1.4155348105778654E-3</v>
      </c>
      <c r="G8" s="7">
        <f>$B8 * IFERROR(VLOOKUP("LULUCF|SO2|Asthma symptoms wheeze", US_national_yearly!$D:$AM, 15, FALSE) / VLOOKUP("LULUCF|SO2|Asthma symptoms wheeze", US_national_yearly!$D:$AM, 10, FALSE), 1)</f>
        <v>1.4155348105778654E-3</v>
      </c>
      <c r="H8" s="7">
        <f>$B8 * IFERROR(VLOOKUP("LULUCF|SO2|Asthma symptoms wheeze", US_national_yearly!$D:$AM, 16, FALSE) / VLOOKUP("LULUCF|SO2|Asthma symptoms wheeze", US_national_yearly!$D:$AM, 10, FALSE), 1)</f>
        <v>1.4155348105778654E-3</v>
      </c>
      <c r="I8" s="7">
        <f>$B8 * IFERROR(VLOOKUP("LULUCF|SO2|Asthma symptoms wheeze", US_national_yearly!$D:$AM, 17, FALSE) / VLOOKUP("LULUCF|SO2|Asthma symptoms wheeze", US_national_yearly!$D:$AM, 10, FALSE), 1)</f>
        <v>1.4155348105778654E-3</v>
      </c>
      <c r="J8" s="7">
        <f>$B8 * IFERROR(VLOOKUP("LULUCF|SO2|Asthma symptoms wheeze", US_national_yearly!$D:$AM, 18, FALSE) / VLOOKUP("LULUCF|SO2|Asthma symptoms wheeze", US_national_yearly!$D:$AM, 10, FALSE), 1)</f>
        <v>1.4155348105778654E-3</v>
      </c>
      <c r="K8" s="7">
        <f>$B8 * IFERROR(VLOOKUP("LULUCF|SO2|Asthma symptoms wheeze", US_national_yearly!$D:$AM, 19, FALSE) / VLOOKUP("LULUCF|SO2|Asthma symptoms wheeze", US_national_yearly!$D:$AM, 10, FALSE), 1)</f>
        <v>1.4155348105778654E-3</v>
      </c>
      <c r="L8" s="7">
        <f>$B8 * IFERROR(VLOOKUP("LULUCF|SO2|Asthma symptoms wheeze", US_national_yearly!$D:$AM, 20, FALSE) / VLOOKUP("LULUCF|SO2|Asthma symptoms wheeze", US_national_yearly!$D:$AM, 10, FALSE), 1)</f>
        <v>1.4155348105778654E-3</v>
      </c>
      <c r="M8" s="7">
        <f>$B8 * IFERROR(VLOOKUP("LULUCF|SO2|Asthma symptoms wheeze", US_national_yearly!$D:$AM, 21, FALSE) / VLOOKUP("LULUCF|SO2|Asthma symptoms wheeze", US_national_yearly!$D:$AM, 10, FALSE), 1)</f>
        <v>1.4155348105778654E-3</v>
      </c>
      <c r="N8" s="7">
        <f>$B8 * IFERROR(VLOOKUP("LULUCF|SO2|Asthma symptoms wheeze", US_national_yearly!$D:$AM, 22, FALSE) / VLOOKUP("LULUCF|SO2|Asthma symptoms wheeze", US_national_yearly!$D:$AM, 10, FALSE), 1)</f>
        <v>1.4155348105778654E-3</v>
      </c>
      <c r="O8" s="7">
        <f>$B8 * IFERROR(VLOOKUP("LULUCF|SO2|Asthma symptoms wheeze", US_national_yearly!$D:$AM, 23, FALSE) / VLOOKUP("LULUCF|SO2|Asthma symptoms wheeze", US_national_yearly!$D:$AM, 10, FALSE), 1)</f>
        <v>1.4155348105778654E-3</v>
      </c>
      <c r="P8" s="7">
        <f>$B8 * IFERROR(VLOOKUP("LULUCF|SO2|Asthma symptoms wheeze", US_national_yearly!$D:$AM, 24, FALSE) / VLOOKUP("LULUCF|SO2|Asthma symptoms wheeze", US_national_yearly!$D:$AM, 10, FALSE), 1)</f>
        <v>1.4155348105778654E-3</v>
      </c>
      <c r="Q8" s="7">
        <f>$B8 * IFERROR(VLOOKUP("LULUCF|SO2|Asthma symptoms wheeze", US_national_yearly!$D:$AM, 25, FALSE) / VLOOKUP("LULUCF|SO2|Asthma symptoms wheeze", US_national_yearly!$D:$AM, 10, FALSE), 1)</f>
        <v>1.4155348105778654E-3</v>
      </c>
      <c r="R8" s="7">
        <f>$B8 * IFERROR(VLOOKUP("LULUCF|SO2|Asthma symptoms wheeze", US_national_yearly!$D:$AM, 26, FALSE) / VLOOKUP("LULUCF|SO2|Asthma symptoms wheeze", US_national_yearly!$D:$AM, 10, FALSE), 1)</f>
        <v>1.4155348105778654E-3</v>
      </c>
      <c r="S8" s="7">
        <f>$B8 * IFERROR(VLOOKUP("LULUCF|SO2|Asthma symptoms wheeze", US_national_yearly!$D:$AM, 27, FALSE) / VLOOKUP("LULUCF|SO2|Asthma symptoms wheeze", US_national_yearly!$D:$AM, 10, FALSE), 1)</f>
        <v>1.4155348105778654E-3</v>
      </c>
      <c r="T8" s="7">
        <f>$B8 * IFERROR(VLOOKUP("LULUCF|SO2|Asthma symptoms wheeze", US_national_yearly!$D:$AM, 28, FALSE) / VLOOKUP("LULUCF|SO2|Asthma symptoms wheeze", US_national_yearly!$D:$AM, 10, FALSE), 1)</f>
        <v>1.4155348105778654E-3</v>
      </c>
      <c r="U8" s="7">
        <f>$B8 * IFERROR(VLOOKUP("LULUCF|SO2|Asthma symptoms wheeze", US_national_yearly!$D:$AM, 29, FALSE) / VLOOKUP("LULUCF|SO2|Asthma symptoms wheeze", US_national_yearly!$D:$AM, 10, FALSE), 1)</f>
        <v>1.4155348105778654E-3</v>
      </c>
      <c r="V8" s="7">
        <f>$B8 * IFERROR(VLOOKUP("LULUCF|SO2|Asthma symptoms wheeze", US_national_yearly!$D:$AM, 30, FALSE) / VLOOKUP("LULUCF|SO2|Asthma symptoms wheeze", US_national_yearly!$D:$AM, 10, FALSE), 1)</f>
        <v>1.4155348105778654E-3</v>
      </c>
      <c r="W8" s="7">
        <f>$B8 * IFERROR(VLOOKUP("LULUCF|SO2|Asthma symptoms wheeze", US_national_yearly!$D:$AM, 31, FALSE) / VLOOKUP("LULUCF|SO2|Asthma symptoms wheeze", US_national_yearly!$D:$AM, 10, FALSE), 1)</f>
        <v>1.4155348105778654E-3</v>
      </c>
      <c r="X8" s="7">
        <f>$B8 * IFERROR(VLOOKUP("LULUCF|SO2|Asthma symptoms wheeze", US_national_yearly!$D:$AM, 32, FALSE) / VLOOKUP("LULUCF|SO2|Asthma symptoms wheeze", US_national_yearly!$D:$AM, 10, FALSE), 1)</f>
        <v>1.4155348105778654E-3</v>
      </c>
      <c r="Y8" s="7">
        <f>$B8 * IFERROR(VLOOKUP("LULUCF|SO2|Asthma symptoms wheeze", US_national_yearly!$D:$AM, 33, FALSE) / VLOOKUP("LULUCF|SO2|Asthma symptoms wheeze", US_national_yearly!$D:$AM, 10, FALSE), 1)</f>
        <v>1.4155348105778654E-3</v>
      </c>
      <c r="Z8" s="7">
        <f>$B8 * IFERROR(VLOOKUP("LULUCF|SO2|Asthma symptoms wheeze", US_national_yearly!$D:$AM, 34, FALSE) / VLOOKUP("LULUCF|SO2|Asthma symptoms wheeze", US_national_yearly!$D:$AM, 10, FALSE), 1)</f>
        <v>1.4155348105778654E-3</v>
      </c>
      <c r="AA8" s="7">
        <f>$B8 * IFERROR(VLOOKUP("LULUCF|SO2|Asthma symptoms wheeze", US_national_yearly!$D:$AM, 35, FALSE) / VLOOKUP("LULUCF|SO2|Asthma symptoms wheeze", US_national_yearly!$D:$AM, 10, FALSE), 1)</f>
        <v>1.4155348105778654E-3</v>
      </c>
      <c r="AB8" s="7">
        <f>$B8 * IFERROR(VLOOKUP("LULUCF|SO2|Asthma symptoms wheeze", US_national_yearly!$D:$AM, 36, FALSE) / VLOOKUP("LULUCF|SO2|Asthma symptoms wheeze", US_national_yearly!$D:$AM, 10, FALSE), 1)</f>
        <v>1.4155348105778654E-3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2.368008958821191E-5</v>
      </c>
      <c r="C12" s="7">
        <f>$B12 * IFERROR(VLOOKUP("LULUCF|SO2|Respiratory hospital admissions", US_national_yearly!$D:$AM, 11, FALSE) / VLOOKUP("LULUCF|SO2|Respiratory hospital admissions", US_national_yearly!$D:$AM, 10, FALSE), 1)</f>
        <v>2.3819755933382856E-5</v>
      </c>
      <c r="D12" s="7">
        <f>$B12 * IFERROR(VLOOKUP("LULUCF|SO2|Respiratory hospital admissions", US_national_yearly!$D:$AM, 12, FALSE) / VLOOKUP("LULUCF|SO2|Respiratory hospital admissions", US_national_yearly!$D:$AM, 10, FALSE), 1)</f>
        <v>2.3959422278553801E-5</v>
      </c>
      <c r="E12" s="7">
        <f>$B12 * IFERROR(VLOOKUP("LULUCF|SO2|Respiratory hospital admissions", US_national_yearly!$D:$AM, 13, FALSE) / VLOOKUP("LULUCF|SO2|Respiratory hospital admissions", US_national_yearly!$D:$AM, 10, FALSE), 1)</f>
        <v>2.4099088623724747E-5</v>
      </c>
      <c r="F12" s="7">
        <f>$B12 * IFERROR(VLOOKUP("LULUCF|SO2|Respiratory hospital admissions", US_national_yearly!$D:$AM, 14, FALSE) / VLOOKUP("LULUCF|SO2|Respiratory hospital admissions", US_national_yearly!$D:$AM, 10, FALSE), 1)</f>
        <v>2.4238754968895692E-5</v>
      </c>
      <c r="G12" s="7">
        <f>$B12 * IFERROR(VLOOKUP("LULUCF|SO2|Respiratory hospital admissions", US_national_yearly!$D:$AM, 15, FALSE) / VLOOKUP("LULUCF|SO2|Respiratory hospital admissions", US_national_yearly!$D:$AM, 10, FALSE), 1)</f>
        <v>2.4391014842793394E-5</v>
      </c>
      <c r="H12" s="7">
        <f>$B12 * IFERROR(VLOOKUP("LULUCF|SO2|Respiratory hospital admissions", US_national_yearly!$D:$AM, 16, FALSE) / VLOOKUP("LULUCF|SO2|Respiratory hospital admissions", US_national_yearly!$D:$AM, 10, FALSE), 1)</f>
        <v>2.4543274716691095E-5</v>
      </c>
      <c r="I12" s="7">
        <f>$B12 * IFERROR(VLOOKUP("LULUCF|SO2|Respiratory hospital admissions", US_national_yearly!$D:$AM, 17, FALSE) / VLOOKUP("LULUCF|SO2|Respiratory hospital admissions", US_national_yearly!$D:$AM, 10, FALSE), 1)</f>
        <v>2.4693421081043723E-5</v>
      </c>
      <c r="J12" s="7">
        <f>$B12 * IFERROR(VLOOKUP("LULUCF|SO2|Respiratory hospital admissions", US_national_yearly!$D:$AM, 18, FALSE) / VLOOKUP("LULUCF|SO2|Respiratory hospital admissions", US_national_yearly!$D:$AM, 10, FALSE), 1)</f>
        <v>2.4843567445396355E-5</v>
      </c>
      <c r="K12" s="7">
        <f>$B12 * IFERROR(VLOOKUP("LULUCF|SO2|Respiratory hospital admissions", US_national_yearly!$D:$AM, 19, FALSE) / VLOOKUP("LULUCF|SO2|Respiratory hospital admissions", US_national_yearly!$D:$AM, 10, FALSE), 1)</f>
        <v>2.4993713809748976E-5</v>
      </c>
      <c r="L12" s="7">
        <f>$B12 * IFERROR(VLOOKUP("LULUCF|SO2|Respiratory hospital admissions", US_national_yearly!$D:$AM, 20, FALSE) / VLOOKUP("LULUCF|SO2|Respiratory hospital admissions", US_national_yearly!$D:$AM, 10, FALSE), 1)</f>
        <v>2.5143860174101607E-5</v>
      </c>
      <c r="M12" s="7">
        <f>$B12 * IFERROR(VLOOKUP("LULUCF|SO2|Respiratory hospital admissions", US_national_yearly!$D:$AM, 21, FALSE) / VLOOKUP("LULUCF|SO2|Respiratory hospital admissions", US_national_yearly!$D:$AM, 10, FALSE), 1)</f>
        <v>2.5294006538454232E-5</v>
      </c>
      <c r="N12" s="7">
        <f>$B12 * IFERROR(VLOOKUP("LULUCF|SO2|Respiratory hospital admissions", US_national_yearly!$D:$AM, 22, FALSE) / VLOOKUP("LULUCF|SO2|Respiratory hospital admissions", US_national_yearly!$D:$AM, 10, FALSE), 1)</f>
        <v>2.5403608749623938E-5</v>
      </c>
      <c r="O12" s="7">
        <f>$B12 * IFERROR(VLOOKUP("LULUCF|SO2|Respiratory hospital admissions", US_national_yearly!$D:$AM, 23, FALSE) / VLOOKUP("LULUCF|SO2|Respiratory hospital admissions", US_national_yearly!$D:$AM, 10, FALSE), 1)</f>
        <v>2.5513210960793638E-5</v>
      </c>
      <c r="P12" s="7">
        <f>$B12 * IFERROR(VLOOKUP("LULUCF|SO2|Respiratory hospital admissions", US_national_yearly!$D:$AM, 24, FALSE) / VLOOKUP("LULUCF|SO2|Respiratory hospital admissions", US_national_yearly!$D:$AM, 10, FALSE), 1)</f>
        <v>2.5622813171963342E-5</v>
      </c>
      <c r="Q12" s="7">
        <f>$B12 * IFERROR(VLOOKUP("LULUCF|SO2|Respiratory hospital admissions", US_national_yearly!$D:$AM, 25, FALSE) / VLOOKUP("LULUCF|SO2|Respiratory hospital admissions", US_national_yearly!$D:$AM, 10, FALSE), 1)</f>
        <v>2.5732415383133048E-5</v>
      </c>
      <c r="R12" s="7">
        <f>$B12 * IFERROR(VLOOKUP("LULUCF|SO2|Respiratory hospital admissions", US_national_yearly!$D:$AM, 26, FALSE) / VLOOKUP("LULUCF|SO2|Respiratory hospital admissions", US_national_yearly!$D:$AM, 10, FALSE), 1)</f>
        <v>2.5842017594302752E-5</v>
      </c>
      <c r="S12" s="7">
        <f>$B12 * IFERROR(VLOOKUP("LULUCF|SO2|Respiratory hospital admissions", US_national_yearly!$D:$AM, 27, FALSE) / VLOOKUP("LULUCF|SO2|Respiratory hospital admissions", US_national_yearly!$D:$AM, 10, FALSE), 1)</f>
        <v>2.5946569740873957E-5</v>
      </c>
      <c r="T12" s="7">
        <f>$B12 * IFERROR(VLOOKUP("LULUCF|SO2|Respiratory hospital admissions", US_national_yearly!$D:$AM, 28, FALSE) / VLOOKUP("LULUCF|SO2|Respiratory hospital admissions", US_national_yearly!$D:$AM, 10, FALSE), 1)</f>
        <v>2.6051121887445153E-5</v>
      </c>
      <c r="U12" s="7">
        <f>$B12 * IFERROR(VLOOKUP("LULUCF|SO2|Respiratory hospital admissions", US_national_yearly!$D:$AM, 29, FALSE) / VLOOKUP("LULUCF|SO2|Respiratory hospital admissions", US_national_yearly!$D:$AM, 10, FALSE), 1)</f>
        <v>2.6155674034016359E-5</v>
      </c>
      <c r="V12" s="7">
        <f>$B12 * IFERROR(VLOOKUP("LULUCF|SO2|Respiratory hospital admissions", US_national_yearly!$D:$AM, 30, FALSE) / VLOOKUP("LULUCF|SO2|Respiratory hospital admissions", US_national_yearly!$D:$AM, 10, FALSE), 1)</f>
        <v>2.6260226180587561E-5</v>
      </c>
      <c r="W12" s="7">
        <f>$B12 * IFERROR(VLOOKUP("LULUCF|SO2|Respiratory hospital admissions", US_national_yearly!$D:$AM, 31, FALSE) / VLOOKUP("LULUCF|SO2|Respiratory hospital admissions", US_national_yearly!$D:$AM, 10, FALSE), 1)</f>
        <v>2.6364778327158766E-5</v>
      </c>
      <c r="X12" s="7">
        <f>$B12 * IFERROR(VLOOKUP("LULUCF|SO2|Respiratory hospital admissions", US_national_yearly!$D:$AM, 32, FALSE) / VLOOKUP("LULUCF|SO2|Respiratory hospital admissions", US_national_yearly!$D:$AM, 10, FALSE), 1)</f>
        <v>2.6463981148832299E-5</v>
      </c>
      <c r="Y12" s="7">
        <f>$B12 * IFERROR(VLOOKUP("LULUCF|SO2|Respiratory hospital admissions", US_national_yearly!$D:$AM, 33, FALSE) / VLOOKUP("LULUCF|SO2|Respiratory hospital admissions", US_national_yearly!$D:$AM, 10, FALSE), 1)</f>
        <v>2.6563183970505835E-5</v>
      </c>
      <c r="Z12" s="7">
        <f>$B12 * IFERROR(VLOOKUP("LULUCF|SO2|Respiratory hospital admissions", US_national_yearly!$D:$AM, 34, FALSE) / VLOOKUP("LULUCF|SO2|Respiratory hospital admissions", US_national_yearly!$D:$AM, 10, FALSE), 1)</f>
        <v>2.666238679217937E-5</v>
      </c>
      <c r="AA12" s="7">
        <f>$B12 * IFERROR(VLOOKUP("LULUCF|SO2|Respiratory hospital admissions", US_national_yearly!$D:$AM, 35, FALSE) / VLOOKUP("LULUCF|SO2|Respiratory hospital admissions", US_national_yearly!$D:$AM, 10, FALSE), 1)</f>
        <v>2.6761589613852903E-5</v>
      </c>
      <c r="AB12" s="7">
        <f>$B12 * IFERROR(VLOOKUP("LULUCF|SO2|Respiratory hospital admissions", US_national_yearly!$D:$AM, 36, FALSE) / VLOOKUP("LULUCF|SO2|Respiratory hospital admissions", US_national_yearly!$D:$AM, 10, FALSE), 1)</f>
        <v>2.6860792435526446E-5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1.2713847136137062E-4</v>
      </c>
      <c r="C13" s="7">
        <f>$B13 * IFERROR(VLOOKUP("LULUCF|SO2|Non-fatal heart attacks", US_national_yearly!$D:$AM, 11, FALSE) / VLOOKUP("LULUCF|SO2|Non-fatal heart attacks", US_national_yearly!$D:$AM, 10, FALSE), 1)</f>
        <v>1.3087079508829205E-4</v>
      </c>
      <c r="D13" s="7">
        <f>$B13 * IFERROR(VLOOKUP("LULUCF|SO2|Non-fatal heart attacks", US_national_yearly!$D:$AM, 12, FALSE) / VLOOKUP("LULUCF|SO2|Non-fatal heart attacks", US_national_yearly!$D:$AM, 10, FALSE), 1)</f>
        <v>1.3460311881521349E-4</v>
      </c>
      <c r="E13" s="7">
        <f>$B13 * IFERROR(VLOOKUP("LULUCF|SO2|Non-fatal heart attacks", US_national_yearly!$D:$AM, 13, FALSE) / VLOOKUP("LULUCF|SO2|Non-fatal heart attacks", US_national_yearly!$D:$AM, 10, FALSE), 1)</f>
        <v>1.3833544254213492E-4</v>
      </c>
      <c r="F13" s="7">
        <f>$B13 * IFERROR(VLOOKUP("LULUCF|SO2|Non-fatal heart attacks", US_national_yearly!$D:$AM, 14, FALSE) / VLOOKUP("LULUCF|SO2|Non-fatal heart attacks", US_national_yearly!$D:$AM, 10, FALSE), 1)</f>
        <v>1.4206776626905633E-4</v>
      </c>
      <c r="G13" s="7">
        <f>$B13 * IFERROR(VLOOKUP("LULUCF|SO2|Non-fatal heart attacks", US_national_yearly!$D:$AM, 15, FALSE) / VLOOKUP("LULUCF|SO2|Non-fatal heart attacks", US_national_yearly!$D:$AM, 10, FALSE), 1)</f>
        <v>1.4558769373771785E-4</v>
      </c>
      <c r="H13" s="7">
        <f>$B13 * IFERROR(VLOOKUP("LULUCF|SO2|Non-fatal heart attacks", US_national_yearly!$D:$AM, 16, FALSE) / VLOOKUP("LULUCF|SO2|Non-fatal heart attacks", US_national_yearly!$D:$AM, 10, FALSE), 1)</f>
        <v>1.4910762120637938E-4</v>
      </c>
      <c r="I13" s="7">
        <f>$B13 * IFERROR(VLOOKUP("LULUCF|SO2|Non-fatal heart attacks", US_national_yearly!$D:$AM, 17, FALSE) / VLOOKUP("LULUCF|SO2|Non-fatal heart attacks", US_national_yearly!$D:$AM, 10, FALSE), 1)</f>
        <v>1.5194005937242382E-4</v>
      </c>
      <c r="J13" s="7">
        <f>$B13 * IFERROR(VLOOKUP("LULUCF|SO2|Non-fatal heart attacks", US_national_yearly!$D:$AM, 18, FALSE) / VLOOKUP("LULUCF|SO2|Non-fatal heart attacks", US_national_yearly!$D:$AM, 10, FALSE), 1)</f>
        <v>1.5477249753846828E-4</v>
      </c>
      <c r="K13" s="7">
        <f>$B13 * IFERROR(VLOOKUP("LULUCF|SO2|Non-fatal heart attacks", US_national_yearly!$D:$AM, 19, FALSE) / VLOOKUP("LULUCF|SO2|Non-fatal heart attacks", US_national_yearly!$D:$AM, 10, FALSE), 1)</f>
        <v>1.5760493570451272E-4</v>
      </c>
      <c r="L13" s="7">
        <f>$B13 * IFERROR(VLOOKUP("LULUCF|SO2|Non-fatal heart attacks", US_national_yearly!$D:$AM, 20, FALSE) / VLOOKUP("LULUCF|SO2|Non-fatal heart attacks", US_national_yearly!$D:$AM, 10, FALSE), 1)</f>
        <v>1.6043737387055719E-4</v>
      </c>
      <c r="M13" s="7">
        <f>$B13 * IFERROR(VLOOKUP("LULUCF|SO2|Non-fatal heart attacks", US_national_yearly!$D:$AM, 21, FALSE) / VLOOKUP("LULUCF|SO2|Non-fatal heart attacks", US_national_yearly!$D:$AM, 10, FALSE), 1)</f>
        <v>1.6326981203660166E-4</v>
      </c>
      <c r="N13" s="7">
        <f>$B13 * IFERROR(VLOOKUP("LULUCF|SO2|Non-fatal heart attacks", US_national_yearly!$D:$AM, 22, FALSE) / VLOOKUP("LULUCF|SO2|Non-fatal heart attacks", US_national_yearly!$D:$AM, 10, FALSE), 1)</f>
        <v>1.6510894835820755E-4</v>
      </c>
      <c r="O13" s="7">
        <f>$B13 * IFERROR(VLOOKUP("LULUCF|SO2|Non-fatal heart attacks", US_national_yearly!$D:$AM, 23, FALSE) / VLOOKUP("LULUCF|SO2|Non-fatal heart attacks", US_national_yearly!$D:$AM, 10, FALSE), 1)</f>
        <v>1.6694808467981347E-4</v>
      </c>
      <c r="P13" s="7">
        <f>$B13 * IFERROR(VLOOKUP("LULUCF|SO2|Non-fatal heart attacks", US_national_yearly!$D:$AM, 24, FALSE) / VLOOKUP("LULUCF|SO2|Non-fatal heart attacks", US_national_yearly!$D:$AM, 10, FALSE), 1)</f>
        <v>1.6878722100141939E-4</v>
      </c>
      <c r="Q13" s="7">
        <f>$B13 * IFERROR(VLOOKUP("LULUCF|SO2|Non-fatal heart attacks", US_national_yearly!$D:$AM, 25, FALSE) / VLOOKUP("LULUCF|SO2|Non-fatal heart attacks", US_national_yearly!$D:$AM, 10, FALSE), 1)</f>
        <v>1.7062635732302528E-4</v>
      </c>
      <c r="R13" s="7">
        <f>$B13 * IFERROR(VLOOKUP("LULUCF|SO2|Non-fatal heart attacks", US_national_yearly!$D:$AM, 26, FALSE) / VLOOKUP("LULUCF|SO2|Non-fatal heart attacks", US_national_yearly!$D:$AM, 10, FALSE), 1)</f>
        <v>1.724654936446312E-4</v>
      </c>
      <c r="S13" s="7">
        <f>$B13 * IFERROR(VLOOKUP("LULUCF|SO2|Non-fatal heart attacks", US_national_yearly!$D:$AM, 27, FALSE) / VLOOKUP("LULUCF|SO2|Non-fatal heart attacks", US_national_yearly!$D:$AM, 10, FALSE), 1)</f>
        <v>1.734256963733878E-4</v>
      </c>
      <c r="T13" s="7">
        <f>$B13 * IFERROR(VLOOKUP("LULUCF|SO2|Non-fatal heart attacks", US_national_yearly!$D:$AM, 28, FALSE) / VLOOKUP("LULUCF|SO2|Non-fatal heart attacks", US_national_yearly!$D:$AM, 10, FALSE), 1)</f>
        <v>1.7438589910214443E-4</v>
      </c>
      <c r="U13" s="7">
        <f>$B13 * IFERROR(VLOOKUP("LULUCF|SO2|Non-fatal heart attacks", US_national_yearly!$D:$AM, 29, FALSE) / VLOOKUP("LULUCF|SO2|Non-fatal heart attacks", US_national_yearly!$D:$AM, 10, FALSE), 1)</f>
        <v>1.75346101830901E-4</v>
      </c>
      <c r="V13" s="7">
        <f>$B13 * IFERROR(VLOOKUP("LULUCF|SO2|Non-fatal heart attacks", US_national_yearly!$D:$AM, 30, FALSE) / VLOOKUP("LULUCF|SO2|Non-fatal heart attacks", US_national_yearly!$D:$AM, 10, FALSE), 1)</f>
        <v>1.7630630455965759E-4</v>
      </c>
      <c r="W13" s="7">
        <f>$B13 * IFERROR(VLOOKUP("LULUCF|SO2|Non-fatal heart attacks", US_national_yearly!$D:$AM, 31, FALSE) / VLOOKUP("LULUCF|SO2|Non-fatal heart attacks", US_national_yearly!$D:$AM, 10, FALSE), 1)</f>
        <v>1.7726650728841424E-4</v>
      </c>
      <c r="X13" s="7">
        <f>$B13 * IFERROR(VLOOKUP("LULUCF|SO2|Non-fatal heart attacks", US_national_yearly!$D:$AM, 32, FALSE) / VLOOKUP("LULUCF|SO2|Non-fatal heart attacks", US_national_yearly!$D:$AM, 10, FALSE), 1)</f>
        <v>1.7799137635599488E-4</v>
      </c>
      <c r="Y13" s="7">
        <f>$B13 * IFERROR(VLOOKUP("LULUCF|SO2|Non-fatal heart attacks", US_national_yearly!$D:$AM, 33, FALSE) / VLOOKUP("LULUCF|SO2|Non-fatal heart attacks", US_national_yearly!$D:$AM, 10, FALSE), 1)</f>
        <v>1.7871624542357552E-4</v>
      </c>
      <c r="Z13" s="7">
        <f>$B13 * IFERROR(VLOOKUP("LULUCF|SO2|Non-fatal heart attacks", US_national_yearly!$D:$AM, 34, FALSE) / VLOOKUP("LULUCF|SO2|Non-fatal heart attacks", US_national_yearly!$D:$AM, 10, FALSE), 1)</f>
        <v>1.7944111449115613E-4</v>
      </c>
      <c r="AA13" s="7">
        <f>$B13 * IFERROR(VLOOKUP("LULUCF|SO2|Non-fatal heart attacks", US_national_yearly!$D:$AM, 35, FALSE) / VLOOKUP("LULUCF|SO2|Non-fatal heart attacks", US_national_yearly!$D:$AM, 10, FALSE), 1)</f>
        <v>1.8016598355873677E-4</v>
      </c>
      <c r="AB13" s="7">
        <f>$B13 * IFERROR(VLOOKUP("LULUCF|SO2|Non-fatal heart attacks", US_national_yearly!$D:$AM, 36, FALSE) / VLOOKUP("LULUCF|SO2|Non-fatal heart attacks", US_national_yearly!$D:$AM, 10, FALSE), 1)</f>
        <v>1.8089085262631741E-4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9.6884846494438848E-2</v>
      </c>
      <c r="C14" s="7">
        <f>$B14 * IFERROR(VLOOKUP("LULUCF|SO2|Minor restricted activity days", US_national_yearly!$D:$AM, 11, FALSE) / VLOOKUP("LULUCF|SO2|Minor restricted activity days", US_national_yearly!$D:$AM, 10, FALSE), 1)</f>
        <v>9.7129060911164314E-2</v>
      </c>
      <c r="D14" s="7">
        <f>$B14 * IFERROR(VLOOKUP("LULUCF|SO2|Minor restricted activity days", US_national_yearly!$D:$AM, 12, FALSE) / VLOOKUP("LULUCF|SO2|Minor restricted activity days", US_national_yearly!$D:$AM, 10, FALSE), 1)</f>
        <v>9.7373275327889766E-2</v>
      </c>
      <c r="E14" s="7">
        <f>$B14 * IFERROR(VLOOKUP("LULUCF|SO2|Minor restricted activity days", US_national_yearly!$D:$AM, 13, FALSE) / VLOOKUP("LULUCF|SO2|Minor restricted activity days", US_national_yearly!$D:$AM, 10, FALSE), 1)</f>
        <v>9.7617489744615246E-2</v>
      </c>
      <c r="F14" s="7">
        <f>$B14 * IFERROR(VLOOKUP("LULUCF|SO2|Minor restricted activity days", US_national_yearly!$D:$AM, 14, FALSE) / VLOOKUP("LULUCF|SO2|Minor restricted activity days", US_national_yearly!$D:$AM, 10, FALSE), 1)</f>
        <v>9.7861704161340685E-2</v>
      </c>
      <c r="G14" s="7">
        <f>$B14 * IFERROR(VLOOKUP("LULUCF|SO2|Minor restricted activity days", US_national_yearly!$D:$AM, 15, FALSE) / VLOOKUP("LULUCF|SO2|Minor restricted activity days", US_national_yearly!$D:$AM, 10, FALSE), 1)</f>
        <v>9.8221163791002306E-2</v>
      </c>
      <c r="H14" s="7">
        <f>$B14 * IFERROR(VLOOKUP("LULUCF|SO2|Minor restricted activity days", US_national_yearly!$D:$AM, 16, FALSE) / VLOOKUP("LULUCF|SO2|Minor restricted activity days", US_national_yearly!$D:$AM, 10, FALSE), 1)</f>
        <v>9.8580623420663913E-2</v>
      </c>
      <c r="I14" s="7">
        <f>$B14 * IFERROR(VLOOKUP("LULUCF|SO2|Minor restricted activity days", US_national_yearly!$D:$AM, 17, FALSE) / VLOOKUP("LULUCF|SO2|Minor restricted activity days", US_national_yearly!$D:$AM, 10, FALSE), 1)</f>
        <v>9.9193648313488689E-2</v>
      </c>
      <c r="J14" s="7">
        <f>$B14 * IFERROR(VLOOKUP("LULUCF|SO2|Minor restricted activity days", US_national_yearly!$D:$AM, 18, FALSE) / VLOOKUP("LULUCF|SO2|Minor restricted activity days", US_national_yearly!$D:$AM, 10, FALSE), 1)</f>
        <v>9.9806673206313465E-2</v>
      </c>
      <c r="K14" s="7">
        <f>$B14 * IFERROR(VLOOKUP("LULUCF|SO2|Minor restricted activity days", US_national_yearly!$D:$AM, 19, FALSE) / VLOOKUP("LULUCF|SO2|Minor restricted activity days", US_national_yearly!$D:$AM, 10, FALSE), 1)</f>
        <v>0.10041969809913825</v>
      </c>
      <c r="L14" s="7">
        <f>$B14 * IFERROR(VLOOKUP("LULUCF|SO2|Minor restricted activity days", US_national_yearly!$D:$AM, 20, FALSE) / VLOOKUP("LULUCF|SO2|Minor restricted activity days", US_national_yearly!$D:$AM, 10, FALSE), 1)</f>
        <v>0.10103272299196302</v>
      </c>
      <c r="M14" s="7">
        <f>$B14 * IFERROR(VLOOKUP("LULUCF|SO2|Minor restricted activity days", US_national_yearly!$D:$AM, 21, FALSE) / VLOOKUP("LULUCF|SO2|Minor restricted activity days", US_national_yearly!$D:$AM, 10, FALSE), 1)</f>
        <v>0.10164574788478779</v>
      </c>
      <c r="N14" s="7">
        <f>$B14 * IFERROR(VLOOKUP("LULUCF|SO2|Minor restricted activity days", US_national_yearly!$D:$AM, 22, FALSE) / VLOOKUP("LULUCF|SO2|Minor restricted activity days", US_national_yearly!$D:$AM, 10, FALSE), 1)</f>
        <v>0.10248426757282404</v>
      </c>
      <c r="O14" s="7">
        <f>$B14 * IFERROR(VLOOKUP("LULUCF|SO2|Minor restricted activity days", US_national_yearly!$D:$AM, 23, FALSE) / VLOOKUP("LULUCF|SO2|Minor restricted activity days", US_national_yearly!$D:$AM, 10, FALSE), 1)</f>
        <v>0.10332278726086029</v>
      </c>
      <c r="P14" s="7">
        <f>$B14 * IFERROR(VLOOKUP("LULUCF|SO2|Minor restricted activity days", US_national_yearly!$D:$AM, 24, FALSE) / VLOOKUP("LULUCF|SO2|Minor restricted activity days", US_national_yearly!$D:$AM, 10, FALSE), 1)</f>
        <v>0.10416130694889655</v>
      </c>
      <c r="Q14" s="7">
        <f>$B14 * IFERROR(VLOOKUP("LULUCF|SO2|Minor restricted activity days", US_national_yearly!$D:$AM, 25, FALSE) / VLOOKUP("LULUCF|SO2|Minor restricted activity days", US_national_yearly!$D:$AM, 10, FALSE), 1)</f>
        <v>0.1049998266369328</v>
      </c>
      <c r="R14" s="7">
        <f>$B14 * IFERROR(VLOOKUP("LULUCF|SO2|Minor restricted activity days", US_national_yearly!$D:$AM, 26, FALSE) / VLOOKUP("LULUCF|SO2|Minor restricted activity days", US_national_yearly!$D:$AM, 10, FALSE), 1)</f>
        <v>0.10583834632496905</v>
      </c>
      <c r="S14" s="7">
        <f>$B14 * IFERROR(VLOOKUP("LULUCF|SO2|Minor restricted activity days", US_national_yearly!$D:$AM, 27, FALSE) / VLOOKUP("LULUCF|SO2|Minor restricted activity days", US_national_yearly!$D:$AM, 10, FALSE), 1)</f>
        <v>0.10669329921613498</v>
      </c>
      <c r="T14" s="7">
        <f>$B14 * IFERROR(VLOOKUP("LULUCF|SO2|Minor restricted activity days", US_national_yearly!$D:$AM, 28, FALSE) / VLOOKUP("LULUCF|SO2|Minor restricted activity days", US_national_yearly!$D:$AM, 10, FALSE), 1)</f>
        <v>0.10754825210730089</v>
      </c>
      <c r="U14" s="7">
        <f>$B14 * IFERROR(VLOOKUP("LULUCF|SO2|Minor restricted activity days", US_national_yearly!$D:$AM, 29, FALSE) / VLOOKUP("LULUCF|SO2|Minor restricted activity days", US_national_yearly!$D:$AM, 10, FALSE), 1)</f>
        <v>0.10840320499846681</v>
      </c>
      <c r="V14" s="7">
        <f>$B14 * IFERROR(VLOOKUP("LULUCF|SO2|Minor restricted activity days", US_national_yearly!$D:$AM, 30, FALSE) / VLOOKUP("LULUCF|SO2|Minor restricted activity days", US_national_yearly!$D:$AM, 10, FALSE), 1)</f>
        <v>0.10925815788963272</v>
      </c>
      <c r="W14" s="7">
        <f>$B14 * IFERROR(VLOOKUP("LULUCF|SO2|Minor restricted activity days", US_national_yearly!$D:$AM, 31, FALSE) / VLOOKUP("LULUCF|SO2|Minor restricted activity days", US_national_yearly!$D:$AM, 10, FALSE), 1)</f>
        <v>0.11011311078079866</v>
      </c>
      <c r="X14" s="7">
        <f>$B14 * IFERROR(VLOOKUP("LULUCF|SO2|Minor restricted activity days", US_national_yearly!$D:$AM, 32, FALSE) / VLOOKUP("LULUCF|SO2|Minor restricted activity days", US_national_yearly!$D:$AM, 10, FALSE), 1)</f>
        <v>0.1108649737183951</v>
      </c>
      <c r="Y14" s="7">
        <f>$B14 * IFERROR(VLOOKUP("LULUCF|SO2|Minor restricted activity days", US_national_yearly!$D:$AM, 33, FALSE) / VLOOKUP("LULUCF|SO2|Minor restricted activity days", US_national_yearly!$D:$AM, 10, FALSE), 1)</f>
        <v>0.11161683665599155</v>
      </c>
      <c r="Z14" s="7">
        <f>$B14 * IFERROR(VLOOKUP("LULUCF|SO2|Minor restricted activity days", US_national_yearly!$D:$AM, 34, FALSE) / VLOOKUP("LULUCF|SO2|Minor restricted activity days", US_national_yearly!$D:$AM, 10, FALSE), 1)</f>
        <v>0.112368699593588</v>
      </c>
      <c r="AA14" s="7">
        <f>$B14 * IFERROR(VLOOKUP("LULUCF|SO2|Minor restricted activity days", US_national_yearly!$D:$AM, 35, FALSE) / VLOOKUP("LULUCF|SO2|Minor restricted activity days", US_national_yearly!$D:$AM, 10, FALSE), 1)</f>
        <v>0.11312056253118445</v>
      </c>
      <c r="AB14" s="7">
        <f>$B14 * IFERROR(VLOOKUP("LULUCF|SO2|Minor restricted activity days", US_national_yearly!$D:$AM, 36, FALSE) / VLOOKUP("LULUCF|SO2|Minor restricted activity days", US_national_yearly!$D:$AM, 10, FALSE), 1)</f>
        <v>0.1138724254687809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1.6400130237267472E-2</v>
      </c>
      <c r="C15" s="7">
        <f>$B15 * IFERROR(VLOOKUP("LULUCF|SO2|Work loss days", US_national_yearly!$D:$AM, 11, FALSE) / VLOOKUP("LULUCF|SO2|Work loss days", US_national_yearly!$D:$AM, 10, FALSE), 1)</f>
        <v>1.6453264052666082E-2</v>
      </c>
      <c r="D15" s="7">
        <f>$B15 * IFERROR(VLOOKUP("LULUCF|SO2|Work loss days", US_national_yearly!$D:$AM, 12, FALSE) / VLOOKUP("LULUCF|SO2|Work loss days", US_national_yearly!$D:$AM, 10, FALSE), 1)</f>
        <v>1.6506397868064689E-2</v>
      </c>
      <c r="E15" s="7">
        <f>$B15 * IFERROR(VLOOKUP("LULUCF|SO2|Work loss days", US_national_yearly!$D:$AM, 13, FALSE) / VLOOKUP("LULUCF|SO2|Work loss days", US_national_yearly!$D:$AM, 10, FALSE), 1)</f>
        <v>1.6559531683463299E-2</v>
      </c>
      <c r="F15" s="7">
        <f>$B15 * IFERROR(VLOOKUP("LULUCF|SO2|Work loss days", US_national_yearly!$D:$AM, 14, FALSE) / VLOOKUP("LULUCF|SO2|Work loss days", US_national_yearly!$D:$AM, 10, FALSE), 1)</f>
        <v>1.6612665498861905E-2</v>
      </c>
      <c r="G15" s="7">
        <f>$B15 * IFERROR(VLOOKUP("LULUCF|SO2|Work loss days", US_national_yearly!$D:$AM, 15, FALSE) / VLOOKUP("LULUCF|SO2|Work loss days", US_national_yearly!$D:$AM, 10, FALSE), 1)</f>
        <v>1.668209133001804E-2</v>
      </c>
      <c r="H15" s="7">
        <f>$B15 * IFERROR(VLOOKUP("LULUCF|SO2|Work loss days", US_national_yearly!$D:$AM, 16, FALSE) / VLOOKUP("LULUCF|SO2|Work loss days", US_national_yearly!$D:$AM, 10, FALSE), 1)</f>
        <v>1.6751517161174168E-2</v>
      </c>
      <c r="I15" s="7">
        <f>$B15 * IFERROR(VLOOKUP("LULUCF|SO2|Work loss days", US_national_yearly!$D:$AM, 17, FALSE) / VLOOKUP("LULUCF|SO2|Work loss days", US_national_yearly!$D:$AM, 10, FALSE), 1)</f>
        <v>1.6853077832410128E-2</v>
      </c>
      <c r="J15" s="7">
        <f>$B15 * IFERROR(VLOOKUP("LULUCF|SO2|Work loss days", US_national_yearly!$D:$AM, 18, FALSE) / VLOOKUP("LULUCF|SO2|Work loss days", US_national_yearly!$D:$AM, 10, FALSE), 1)</f>
        <v>1.6954638503646081E-2</v>
      </c>
      <c r="K15" s="7">
        <f>$B15 * IFERROR(VLOOKUP("LULUCF|SO2|Work loss days", US_national_yearly!$D:$AM, 19, FALSE) / VLOOKUP("LULUCF|SO2|Work loss days", US_national_yearly!$D:$AM, 10, FALSE), 1)</f>
        <v>1.7056199174882037E-2</v>
      </c>
      <c r="L15" s="7">
        <f>$B15 * IFERROR(VLOOKUP("LULUCF|SO2|Work loss days", US_national_yearly!$D:$AM, 20, FALSE) / VLOOKUP("LULUCF|SO2|Work loss days", US_national_yearly!$D:$AM, 10, FALSE), 1)</f>
        <v>1.7157759846117993E-2</v>
      </c>
      <c r="M15" s="7">
        <f>$B15 * IFERROR(VLOOKUP("LULUCF|SO2|Work loss days", US_national_yearly!$D:$AM, 21, FALSE) / VLOOKUP("LULUCF|SO2|Work loss days", US_national_yearly!$D:$AM, 10, FALSE), 1)</f>
        <v>1.7259320517353953E-2</v>
      </c>
      <c r="N15" s="7">
        <f>$B15 * IFERROR(VLOOKUP("LULUCF|SO2|Work loss days", US_national_yearly!$D:$AM, 22, FALSE) / VLOOKUP("LULUCF|SO2|Work loss days", US_national_yearly!$D:$AM, 10, FALSE), 1)</f>
        <v>1.7386661141118351E-2</v>
      </c>
      <c r="O15" s="7">
        <f>$B15 * IFERROR(VLOOKUP("LULUCF|SO2|Work loss days", US_national_yearly!$D:$AM, 23, FALSE) / VLOOKUP("LULUCF|SO2|Work loss days", US_national_yearly!$D:$AM, 10, FALSE), 1)</f>
        <v>1.7514001764882749E-2</v>
      </c>
      <c r="P15" s="7">
        <f>$B15 * IFERROR(VLOOKUP("LULUCF|SO2|Work loss days", US_national_yearly!$D:$AM, 24, FALSE) / VLOOKUP("LULUCF|SO2|Work loss days", US_national_yearly!$D:$AM, 10, FALSE), 1)</f>
        <v>1.7641342388647143E-2</v>
      </c>
      <c r="Q15" s="7">
        <f>$B15 * IFERROR(VLOOKUP("LULUCF|SO2|Work loss days", US_national_yearly!$D:$AM, 25, FALSE) / VLOOKUP("LULUCF|SO2|Work loss days", US_national_yearly!$D:$AM, 10, FALSE), 1)</f>
        <v>1.7768683012411541E-2</v>
      </c>
      <c r="R15" s="7">
        <f>$B15 * IFERROR(VLOOKUP("LULUCF|SO2|Work loss days", US_national_yearly!$D:$AM, 26, FALSE) / VLOOKUP("LULUCF|SO2|Work loss days", US_national_yearly!$D:$AM, 10, FALSE), 1)</f>
        <v>1.7896023636175942E-2</v>
      </c>
      <c r="S15" s="7">
        <f>$B15 * IFERROR(VLOOKUP("LULUCF|SO2|Work loss days", US_national_yearly!$D:$AM, 27, FALSE) / VLOOKUP("LULUCF|SO2|Work loss days", US_national_yearly!$D:$AM, 10, FALSE), 1)</f>
        <v>1.803832636339598E-2</v>
      </c>
      <c r="T15" s="7">
        <f>$B15 * IFERROR(VLOOKUP("LULUCF|SO2|Work loss days", US_national_yearly!$D:$AM, 28, FALSE) / VLOOKUP("LULUCF|SO2|Work loss days", US_national_yearly!$D:$AM, 10, FALSE), 1)</f>
        <v>1.8180629090616025E-2</v>
      </c>
      <c r="U15" s="7">
        <f>$B15 * IFERROR(VLOOKUP("LULUCF|SO2|Work loss days", US_national_yearly!$D:$AM, 29, FALSE) / VLOOKUP("LULUCF|SO2|Work loss days", US_national_yearly!$D:$AM, 10, FALSE), 1)</f>
        <v>1.8322931817836067E-2</v>
      </c>
      <c r="V15" s="7">
        <f>$B15 * IFERROR(VLOOKUP("LULUCF|SO2|Work loss days", US_national_yearly!$D:$AM, 30, FALSE) / VLOOKUP("LULUCF|SO2|Work loss days", US_national_yearly!$D:$AM, 10, FALSE), 1)</f>
        <v>1.8465234545056105E-2</v>
      </c>
      <c r="W15" s="7">
        <f>$B15 * IFERROR(VLOOKUP("LULUCF|SO2|Work loss days", US_national_yearly!$D:$AM, 31, FALSE) / VLOOKUP("LULUCF|SO2|Work loss days", US_national_yearly!$D:$AM, 10, FALSE), 1)</f>
        <v>1.860753727227615E-2</v>
      </c>
      <c r="X15" s="7">
        <f>$B15 * IFERROR(VLOOKUP("LULUCF|SO2|Work loss days", US_national_yearly!$D:$AM, 32, FALSE) / VLOOKUP("LULUCF|SO2|Work loss days", US_national_yearly!$D:$AM, 10, FALSE), 1)</f>
        <v>1.8735305506793469E-2</v>
      </c>
      <c r="Y15" s="7">
        <f>$B15 * IFERROR(VLOOKUP("LULUCF|SO2|Work loss days", US_national_yearly!$D:$AM, 33, FALSE) / VLOOKUP("LULUCF|SO2|Work loss days", US_national_yearly!$D:$AM, 10, FALSE), 1)</f>
        <v>1.8863073741310788E-2</v>
      </c>
      <c r="Z15" s="7">
        <f>$B15 * IFERROR(VLOOKUP("LULUCF|SO2|Work loss days", US_national_yearly!$D:$AM, 34, FALSE) / VLOOKUP("LULUCF|SO2|Work loss days", US_national_yearly!$D:$AM, 10, FALSE), 1)</f>
        <v>1.8990841975828111E-2</v>
      </c>
      <c r="AA15" s="7">
        <f>$B15 * IFERROR(VLOOKUP("LULUCF|SO2|Work loss days", US_national_yearly!$D:$AM, 35, FALSE) / VLOOKUP("LULUCF|SO2|Work loss days", US_national_yearly!$D:$AM, 10, FALSE), 1)</f>
        <v>1.911861021034543E-2</v>
      </c>
      <c r="AB15" s="7">
        <f>$B15 * IFERROR(VLOOKUP("LULUCF|SO2|Work loss days", US_national_yearly!$D:$AM, 36, FALSE) / VLOOKUP("LULUCF|SO2|Work loss days", US_national_yearly!$D:$AM, 10, FALSE), 1)</f>
        <v>1.9246378444862752E-2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3.0010739838640654E-5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3.0918379535141655E-5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3.1826019231642662E-5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3.2733658928143663E-5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3.3641298624644678E-5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3.4510731150847115E-5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3.5380163677049558E-5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3.6125097683728691E-5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3.6870031690407823E-5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3.7614965697086963E-5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3.8359899703766095E-5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3.9104833710445221E-5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3.960525967458641E-5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4.0105685638727593E-5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4.0606111602868782E-5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4.1106537567009965E-5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4.1606963531151155E-5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4.1870151957927487E-5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4.2133340384703826E-5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4.2396528811480165E-5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4.2659717238256498E-5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4.2922905665032837E-5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4.3099592756272467E-5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4.3276279847512097E-5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4.3452966938751727E-5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4.3629654029991357E-5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4.3806341121230981E-5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2026-06-15T17:15:27Z</dcterms:modified>
</cp:coreProperties>
</file>